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defaultThemeVersion="166925"/>
  <mc:AlternateContent xmlns:mc="http://schemas.openxmlformats.org/markup-compatibility/2006">
    <mc:Choice Requires="x15">
      <x15ac:absPath xmlns:x15ac="http://schemas.microsoft.com/office/spreadsheetml/2010/11/ac" url="G:\Gaming Revenue\Sports Wagering Revenue Reports\Web Report\"/>
    </mc:Choice>
  </mc:AlternateContent>
  <xr:revisionPtr revIDLastSave="0" documentId="13_ncr:1_{F8720C37-5BB9-4EE5-A898-87A377E66CB1}" xr6:coauthVersionLast="44" xr6:coauthVersionMax="44" xr10:uidLastSave="{00000000-0000-0000-0000-000000000000}"/>
  <bookViews>
    <workbookView xWindow="-110" yWindow="-110" windowWidth="19420" windowHeight="10420" xr2:uid="{EC593364-E5D4-482F-860F-E5A5FE8AE00B}"/>
  </bookViews>
  <sheets>
    <sheet name="FY 2019-20" sheetId="1" r:id="rId1"/>
    <sheet name="Footnotes" sheetId="2" r:id="rId2"/>
  </sheets>
  <definedNames>
    <definedName name="_xlnm.Print_Area" localSheetId="0">'FY 2019-20'!$A$1:$AB$311</definedName>
    <definedName name="_xlnm.Print_Titles" localSheetId="0">'FY 2019-20'!$A:$A,'FY 2019-20'!$1:$4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B9" i="1" l="1"/>
  <c r="Y311" i="1" l="1"/>
  <c r="Y310" i="1"/>
  <c r="Y309" i="1"/>
  <c r="Y308" i="1"/>
  <c r="Y307" i="1"/>
  <c r="Y306" i="1"/>
  <c r="Y304" i="1"/>
  <c r="Y303" i="1"/>
  <c r="Y302" i="1"/>
  <c r="Y301" i="1"/>
  <c r="Y299" i="1"/>
  <c r="Y298" i="1"/>
  <c r="Y297" i="1"/>
  <c r="Y296" i="1"/>
  <c r="Y295" i="1"/>
  <c r="Y294" i="1"/>
  <c r="W294" i="1" l="1"/>
  <c r="W311" i="1"/>
  <c r="W310" i="1"/>
  <c r="W309" i="1"/>
  <c r="W308" i="1"/>
  <c r="W307" i="1"/>
  <c r="W306" i="1"/>
  <c r="W304" i="1"/>
  <c r="W303" i="1"/>
  <c r="W302" i="1"/>
  <c r="W301" i="1"/>
  <c r="W299" i="1"/>
  <c r="W298" i="1"/>
  <c r="W297" i="1"/>
  <c r="W296" i="1"/>
  <c r="W295" i="1"/>
  <c r="U311" i="1" l="1"/>
  <c r="U310" i="1"/>
  <c r="U309" i="1"/>
  <c r="U308" i="1"/>
  <c r="U307" i="1"/>
  <c r="U306" i="1"/>
  <c r="U304" i="1"/>
  <c r="U303" i="1"/>
  <c r="U302" i="1"/>
  <c r="U301" i="1"/>
  <c r="U299" i="1"/>
  <c r="U298" i="1"/>
  <c r="U297" i="1"/>
  <c r="U296" i="1"/>
  <c r="U295" i="1"/>
  <c r="U294" i="1"/>
  <c r="S294" i="1" l="1"/>
  <c r="S311" i="1" l="1"/>
  <c r="S309" i="1"/>
  <c r="S303" i="1"/>
  <c r="S297" i="1"/>
  <c r="S295" i="1"/>
  <c r="S310" i="1"/>
  <c r="S308" i="1"/>
  <c r="S307" i="1"/>
  <c r="S306" i="1"/>
  <c r="S304" i="1"/>
  <c r="S302" i="1"/>
  <c r="S301" i="1"/>
  <c r="S299" i="1"/>
  <c r="S298" i="1"/>
  <c r="S296" i="1"/>
  <c r="AA294" i="1"/>
  <c r="AA289" i="1"/>
  <c r="AB289" i="1" s="1"/>
  <c r="AA288" i="1"/>
  <c r="AB288" i="1" s="1"/>
  <c r="AA287" i="1"/>
  <c r="AB287" i="1" s="1"/>
  <c r="AA286" i="1"/>
  <c r="AB286" i="1" s="1"/>
  <c r="AA285" i="1"/>
  <c r="AB285" i="1" s="1"/>
  <c r="AA284" i="1"/>
  <c r="AB284" i="1" s="1"/>
  <c r="AA282" i="1"/>
  <c r="AB282" i="1" s="1"/>
  <c r="AA281" i="1"/>
  <c r="AB281" i="1" s="1"/>
  <c r="AA280" i="1"/>
  <c r="AB280" i="1" s="1"/>
  <c r="AA279" i="1"/>
  <c r="AB279" i="1" s="1"/>
  <c r="AA277" i="1"/>
  <c r="AB277" i="1" s="1"/>
  <c r="AA276" i="1"/>
  <c r="AB276" i="1" s="1"/>
  <c r="AA275" i="1"/>
  <c r="AB275" i="1" s="1"/>
  <c r="AA274" i="1"/>
  <c r="AB274" i="1" s="1"/>
  <c r="AA273" i="1"/>
  <c r="AB273" i="1" s="1"/>
  <c r="AA272" i="1"/>
  <c r="AB272" i="1" s="1"/>
  <c r="Q294" i="1" l="1"/>
  <c r="Q311" i="1"/>
  <c r="Q310" i="1"/>
  <c r="Q309" i="1"/>
  <c r="Q308" i="1"/>
  <c r="Q307" i="1"/>
  <c r="Q306" i="1"/>
  <c r="Q304" i="1"/>
  <c r="Q303" i="1"/>
  <c r="Q302" i="1"/>
  <c r="Q301" i="1"/>
  <c r="Q299" i="1"/>
  <c r="Q298" i="1"/>
  <c r="Q297" i="1"/>
  <c r="Q296" i="1"/>
  <c r="Q295" i="1"/>
  <c r="AA8" i="1" l="1"/>
  <c r="O311" i="1"/>
  <c r="O310" i="1"/>
  <c r="O309" i="1"/>
  <c r="O308" i="1"/>
  <c r="O307" i="1"/>
  <c r="O306" i="1"/>
  <c r="O304" i="1"/>
  <c r="O303" i="1"/>
  <c r="O302" i="1"/>
  <c r="O301" i="1"/>
  <c r="O299" i="1"/>
  <c r="O298" i="1"/>
  <c r="O297" i="1"/>
  <c r="O296" i="1"/>
  <c r="O295" i="1"/>
  <c r="O294" i="1"/>
  <c r="M296" i="1" l="1"/>
  <c r="M311" i="1"/>
  <c r="M310" i="1"/>
  <c r="M309" i="1"/>
  <c r="M308" i="1"/>
  <c r="M307" i="1"/>
  <c r="M306" i="1"/>
  <c r="M304" i="1"/>
  <c r="M303" i="1"/>
  <c r="M302" i="1"/>
  <c r="M301" i="1"/>
  <c r="M299" i="1"/>
  <c r="M298" i="1"/>
  <c r="M297" i="1"/>
  <c r="M295" i="1"/>
  <c r="M294" i="1"/>
  <c r="K311" i="1" l="1"/>
  <c r="K310" i="1"/>
  <c r="K309" i="1"/>
  <c r="K308" i="1"/>
  <c r="K307" i="1"/>
  <c r="K306" i="1"/>
  <c r="K304" i="1"/>
  <c r="K303" i="1"/>
  <c r="K302" i="1"/>
  <c r="K301" i="1"/>
  <c r="K299" i="1"/>
  <c r="K298" i="1"/>
  <c r="K297" i="1"/>
  <c r="K296" i="1"/>
  <c r="K295" i="1"/>
  <c r="K294" i="1"/>
  <c r="AA267" i="1" l="1"/>
  <c r="AB267" i="1" s="1"/>
  <c r="AA266" i="1"/>
  <c r="AB266" i="1" s="1"/>
  <c r="AA265" i="1"/>
  <c r="AB265" i="1" s="1"/>
  <c r="AA264" i="1"/>
  <c r="AB264" i="1" s="1"/>
  <c r="AA263" i="1"/>
  <c r="AB263" i="1" s="1"/>
  <c r="AA262" i="1"/>
  <c r="AB262" i="1" s="1"/>
  <c r="AA260" i="1"/>
  <c r="AB260" i="1" s="1"/>
  <c r="AA259" i="1"/>
  <c r="AB259" i="1" s="1"/>
  <c r="AA258" i="1"/>
  <c r="AB258" i="1" s="1"/>
  <c r="AA257" i="1"/>
  <c r="AB257" i="1" s="1"/>
  <c r="AA255" i="1"/>
  <c r="AB255" i="1" s="1"/>
  <c r="AA254" i="1"/>
  <c r="AB254" i="1" s="1"/>
  <c r="AA253" i="1"/>
  <c r="AB253" i="1" s="1"/>
  <c r="AA252" i="1"/>
  <c r="AB252" i="1" s="1"/>
  <c r="AA251" i="1"/>
  <c r="AB251" i="1" s="1"/>
  <c r="AA250" i="1"/>
  <c r="AB250" i="1" s="1"/>
  <c r="I308" i="1"/>
  <c r="I311" i="1"/>
  <c r="I310" i="1"/>
  <c r="I309" i="1"/>
  <c r="I307" i="1"/>
  <c r="I306" i="1"/>
  <c r="I304" i="1"/>
  <c r="I303" i="1"/>
  <c r="I302" i="1"/>
  <c r="I301" i="1"/>
  <c r="I299" i="1"/>
  <c r="I298" i="1"/>
  <c r="I297" i="1"/>
  <c r="I296" i="1"/>
  <c r="I295" i="1"/>
  <c r="I294" i="1"/>
  <c r="G311" i="1" l="1"/>
  <c r="G310" i="1"/>
  <c r="G309" i="1"/>
  <c r="G308" i="1"/>
  <c r="G307" i="1"/>
  <c r="G306" i="1"/>
  <c r="G304" i="1"/>
  <c r="G303" i="1"/>
  <c r="G302" i="1"/>
  <c r="G301" i="1"/>
  <c r="G299" i="1"/>
  <c r="G298" i="1"/>
  <c r="G297" i="1"/>
  <c r="G296" i="1"/>
  <c r="G295" i="1"/>
  <c r="G294" i="1"/>
  <c r="AA245" i="1"/>
  <c r="AB245" i="1" s="1"/>
  <c r="AA244" i="1"/>
  <c r="AB244" i="1" s="1"/>
  <c r="AA243" i="1"/>
  <c r="AB243" i="1" s="1"/>
  <c r="AA242" i="1"/>
  <c r="AB242" i="1" s="1"/>
  <c r="AA241" i="1"/>
  <c r="AB241" i="1" s="1"/>
  <c r="AA240" i="1"/>
  <c r="AB240" i="1" s="1"/>
  <c r="AA238" i="1"/>
  <c r="AB238" i="1" s="1"/>
  <c r="AA237" i="1"/>
  <c r="AB237" i="1" s="1"/>
  <c r="AA236" i="1"/>
  <c r="AB236" i="1" s="1"/>
  <c r="AA235" i="1"/>
  <c r="AB235" i="1" s="1"/>
  <c r="AA233" i="1"/>
  <c r="AB233" i="1" s="1"/>
  <c r="AA232" i="1"/>
  <c r="AB232" i="1" s="1"/>
  <c r="AA231" i="1"/>
  <c r="AB231" i="1" s="1"/>
  <c r="AA230" i="1"/>
  <c r="AB230" i="1" s="1"/>
  <c r="AA229" i="1"/>
  <c r="AB229" i="1" s="1"/>
  <c r="AA228" i="1"/>
  <c r="AB228" i="1" s="1"/>
  <c r="AA206" i="1" l="1"/>
  <c r="AB206" i="1" s="1"/>
  <c r="AA223" i="1"/>
  <c r="AB223" i="1" s="1"/>
  <c r="AA222" i="1"/>
  <c r="AB222" i="1" s="1"/>
  <c r="AA221" i="1"/>
  <c r="AB221" i="1" s="1"/>
  <c r="AA220" i="1"/>
  <c r="AB220" i="1" s="1"/>
  <c r="AA219" i="1"/>
  <c r="AB219" i="1" s="1"/>
  <c r="AA218" i="1"/>
  <c r="AB218" i="1" s="1"/>
  <c r="AA216" i="1"/>
  <c r="AB216" i="1" s="1"/>
  <c r="AA215" i="1"/>
  <c r="AB215" i="1" s="1"/>
  <c r="AA214" i="1"/>
  <c r="AB214" i="1" s="1"/>
  <c r="AA213" i="1"/>
  <c r="AB213" i="1" s="1"/>
  <c r="AA211" i="1"/>
  <c r="AB211" i="1" s="1"/>
  <c r="AA210" i="1"/>
  <c r="AB210" i="1" s="1"/>
  <c r="AA209" i="1"/>
  <c r="AB209" i="1" s="1"/>
  <c r="AA208" i="1"/>
  <c r="AB208" i="1" s="1"/>
  <c r="AA207" i="1"/>
  <c r="AB207" i="1" s="1"/>
  <c r="E311" i="1" l="1"/>
  <c r="E310" i="1"/>
  <c r="E309" i="1"/>
  <c r="E308" i="1"/>
  <c r="E307" i="1"/>
  <c r="E306" i="1"/>
  <c r="E304" i="1"/>
  <c r="E303" i="1"/>
  <c r="E302" i="1"/>
  <c r="E301" i="1"/>
  <c r="E299" i="1"/>
  <c r="E298" i="1"/>
  <c r="E297" i="1"/>
  <c r="E296" i="1"/>
  <c r="E295" i="1"/>
  <c r="E294" i="1"/>
  <c r="C294" i="1" l="1"/>
  <c r="AB294" i="1" s="1"/>
  <c r="C311" i="1" l="1"/>
  <c r="C310" i="1"/>
  <c r="C309" i="1"/>
  <c r="C308" i="1"/>
  <c r="C307" i="1"/>
  <c r="C306" i="1"/>
  <c r="C304" i="1"/>
  <c r="C303" i="1"/>
  <c r="C302" i="1"/>
  <c r="C301" i="1"/>
  <c r="C299" i="1"/>
  <c r="C298" i="1"/>
  <c r="AA298" i="1" s="1"/>
  <c r="C297" i="1"/>
  <c r="C296" i="1"/>
  <c r="AA296" i="1" s="1"/>
  <c r="AB296" i="1" s="1"/>
  <c r="C295" i="1"/>
  <c r="AA295" i="1" s="1"/>
  <c r="AA201" i="1"/>
  <c r="AB201" i="1" s="1"/>
  <c r="AA200" i="1"/>
  <c r="AB200" i="1" s="1"/>
  <c r="AA199" i="1"/>
  <c r="AB199" i="1" s="1"/>
  <c r="AA198" i="1"/>
  <c r="AB198" i="1" s="1"/>
  <c r="AA197" i="1"/>
  <c r="AB197" i="1" s="1"/>
  <c r="AA196" i="1"/>
  <c r="AB196" i="1" s="1"/>
  <c r="AA194" i="1"/>
  <c r="AB194" i="1" s="1"/>
  <c r="AA193" i="1"/>
  <c r="AB193" i="1" s="1"/>
  <c r="AA192" i="1"/>
  <c r="AB192" i="1" s="1"/>
  <c r="AA191" i="1"/>
  <c r="AB191" i="1" s="1"/>
  <c r="AA189" i="1"/>
  <c r="AB189" i="1" s="1"/>
  <c r="AA188" i="1"/>
  <c r="AB188" i="1" s="1"/>
  <c r="AA187" i="1"/>
  <c r="AB187" i="1" s="1"/>
  <c r="AA186" i="1"/>
  <c r="AB186" i="1" s="1"/>
  <c r="AA185" i="1"/>
  <c r="AB185" i="1" s="1"/>
  <c r="AA184" i="1"/>
  <c r="AB184" i="1" s="1"/>
  <c r="AB8" i="1" l="1"/>
  <c r="AA10" i="1"/>
  <c r="AA12" i="1"/>
  <c r="AB12" i="1" s="1"/>
  <c r="AA11" i="1"/>
  <c r="AB11" i="1" s="1"/>
  <c r="AA311" i="1" l="1"/>
  <c r="AB311" i="1" s="1"/>
  <c r="AA310" i="1"/>
  <c r="AB310" i="1" s="1"/>
  <c r="AA309" i="1"/>
  <c r="AB309" i="1" s="1"/>
  <c r="AA308" i="1"/>
  <c r="AB308" i="1" s="1"/>
  <c r="AA307" i="1"/>
  <c r="AB307" i="1" s="1"/>
  <c r="AA306" i="1"/>
  <c r="AB306" i="1" s="1"/>
  <c r="AA304" i="1"/>
  <c r="AB304" i="1" s="1"/>
  <c r="AA303" i="1"/>
  <c r="AB303" i="1" s="1"/>
  <c r="AA302" i="1"/>
  <c r="AB302" i="1" s="1"/>
  <c r="AA301" i="1"/>
  <c r="AB301" i="1" s="1"/>
  <c r="AA297" i="1"/>
  <c r="AB297" i="1" s="1"/>
  <c r="AB295" i="1"/>
  <c r="AA179" i="1"/>
  <c r="AB179" i="1" s="1"/>
  <c r="AA178" i="1"/>
  <c r="AB178" i="1" s="1"/>
  <c r="AA177" i="1"/>
  <c r="AB177" i="1" s="1"/>
  <c r="AA176" i="1"/>
  <c r="AB176" i="1" s="1"/>
  <c r="AA175" i="1"/>
  <c r="AB175" i="1" s="1"/>
  <c r="AA174" i="1"/>
  <c r="AB174" i="1" s="1"/>
  <c r="AA172" i="1"/>
  <c r="AB172" i="1" s="1"/>
  <c r="AA171" i="1"/>
  <c r="AB171" i="1" s="1"/>
  <c r="AA170" i="1"/>
  <c r="AB170" i="1" s="1"/>
  <c r="AA169" i="1"/>
  <c r="AB169" i="1" s="1"/>
  <c r="AA167" i="1"/>
  <c r="AB167" i="1" s="1"/>
  <c r="AA166" i="1"/>
  <c r="AB166" i="1" s="1"/>
  <c r="AA165" i="1"/>
  <c r="AB165" i="1" s="1"/>
  <c r="AA164" i="1"/>
  <c r="AB164" i="1" s="1"/>
  <c r="AA163" i="1"/>
  <c r="AB163" i="1" s="1"/>
  <c r="AA162" i="1"/>
  <c r="AB162" i="1" s="1"/>
  <c r="AA157" i="1"/>
  <c r="AB157" i="1" s="1"/>
  <c r="AA156" i="1"/>
  <c r="AB156" i="1" s="1"/>
  <c r="AA155" i="1"/>
  <c r="AB155" i="1" s="1"/>
  <c r="AA154" i="1"/>
  <c r="AB154" i="1" s="1"/>
  <c r="AA153" i="1"/>
  <c r="AB153" i="1" s="1"/>
  <c r="AA152" i="1"/>
  <c r="AB152" i="1" s="1"/>
  <c r="AA150" i="1"/>
  <c r="AB150" i="1" s="1"/>
  <c r="AA149" i="1"/>
  <c r="AB149" i="1" s="1"/>
  <c r="AA148" i="1"/>
  <c r="AB148" i="1" s="1"/>
  <c r="AA147" i="1"/>
  <c r="AB147" i="1" s="1"/>
  <c r="AA145" i="1"/>
  <c r="AB145" i="1" s="1"/>
  <c r="AA144" i="1"/>
  <c r="AB144" i="1" s="1"/>
  <c r="AA143" i="1"/>
  <c r="AB143" i="1" s="1"/>
  <c r="AA142" i="1"/>
  <c r="AB142" i="1" s="1"/>
  <c r="AA141" i="1"/>
  <c r="AB141" i="1" s="1"/>
  <c r="AA140" i="1"/>
  <c r="AB140" i="1" s="1"/>
  <c r="AA135" i="1"/>
  <c r="AB135" i="1" s="1"/>
  <c r="AA134" i="1"/>
  <c r="AB134" i="1" s="1"/>
  <c r="AA133" i="1"/>
  <c r="AB133" i="1" s="1"/>
  <c r="AA132" i="1"/>
  <c r="AB132" i="1" s="1"/>
  <c r="AA131" i="1"/>
  <c r="AB131" i="1" s="1"/>
  <c r="AA130" i="1"/>
  <c r="AB130" i="1" s="1"/>
  <c r="AA128" i="1"/>
  <c r="AB128" i="1" s="1"/>
  <c r="AA127" i="1"/>
  <c r="AB127" i="1" s="1"/>
  <c r="AA126" i="1"/>
  <c r="AB126" i="1" s="1"/>
  <c r="AA125" i="1"/>
  <c r="AB125" i="1" s="1"/>
  <c r="AA123" i="1"/>
  <c r="AB123" i="1" s="1"/>
  <c r="AA122" i="1"/>
  <c r="AB122" i="1" s="1"/>
  <c r="AA121" i="1"/>
  <c r="AB121" i="1" s="1"/>
  <c r="AA120" i="1"/>
  <c r="AB120" i="1" s="1"/>
  <c r="AA119" i="1"/>
  <c r="AB119" i="1" s="1"/>
  <c r="AA118" i="1"/>
  <c r="AB118" i="1" s="1"/>
  <c r="AA113" i="1"/>
  <c r="AB113" i="1" s="1"/>
  <c r="AA112" i="1"/>
  <c r="AB112" i="1" s="1"/>
  <c r="AA111" i="1"/>
  <c r="AB111" i="1" s="1"/>
  <c r="AA110" i="1"/>
  <c r="AB110" i="1" s="1"/>
  <c r="AA109" i="1"/>
  <c r="AB109" i="1" s="1"/>
  <c r="AA108" i="1"/>
  <c r="AB108" i="1" s="1"/>
  <c r="AA106" i="1"/>
  <c r="AB106" i="1" s="1"/>
  <c r="AA105" i="1"/>
  <c r="AB105" i="1" s="1"/>
  <c r="AA104" i="1"/>
  <c r="AB104" i="1" s="1"/>
  <c r="AA103" i="1"/>
  <c r="AB103" i="1" s="1"/>
  <c r="AA101" i="1"/>
  <c r="AB101" i="1" s="1"/>
  <c r="AA100" i="1"/>
  <c r="AB100" i="1" s="1"/>
  <c r="AA99" i="1"/>
  <c r="AB99" i="1" s="1"/>
  <c r="AA98" i="1"/>
  <c r="AB98" i="1" s="1"/>
  <c r="AA97" i="1"/>
  <c r="AB97" i="1" s="1"/>
  <c r="AA96" i="1"/>
  <c r="AB96" i="1" s="1"/>
  <c r="AA91" i="1"/>
  <c r="AB91" i="1" s="1"/>
  <c r="AA90" i="1"/>
  <c r="AB90" i="1" s="1"/>
  <c r="AA89" i="1"/>
  <c r="AB89" i="1" s="1"/>
  <c r="AA88" i="1"/>
  <c r="AB88" i="1" s="1"/>
  <c r="AA87" i="1"/>
  <c r="AB87" i="1" s="1"/>
  <c r="AA86" i="1"/>
  <c r="AB86" i="1" s="1"/>
  <c r="AA84" i="1"/>
  <c r="AB84" i="1" s="1"/>
  <c r="AA83" i="1"/>
  <c r="AB83" i="1" s="1"/>
  <c r="AA82" i="1"/>
  <c r="AB82" i="1" s="1"/>
  <c r="AA81" i="1"/>
  <c r="AB81" i="1" s="1"/>
  <c r="AA79" i="1"/>
  <c r="AB79" i="1" s="1"/>
  <c r="AA78" i="1"/>
  <c r="AB78" i="1" s="1"/>
  <c r="AA77" i="1"/>
  <c r="AB77" i="1" s="1"/>
  <c r="AA76" i="1"/>
  <c r="AB76" i="1" s="1"/>
  <c r="AA75" i="1"/>
  <c r="AB75" i="1" s="1"/>
  <c r="AA74" i="1"/>
  <c r="AB74" i="1" s="1"/>
  <c r="AA69" i="1"/>
  <c r="AB69" i="1" s="1"/>
  <c r="AA68" i="1"/>
  <c r="AB68" i="1" s="1"/>
  <c r="AA67" i="1"/>
  <c r="AB67" i="1" s="1"/>
  <c r="AA66" i="1"/>
  <c r="AB66" i="1" s="1"/>
  <c r="AA65" i="1"/>
  <c r="AB65" i="1" s="1"/>
  <c r="AA64" i="1"/>
  <c r="AB64" i="1" s="1"/>
  <c r="AA62" i="1"/>
  <c r="AB62" i="1" s="1"/>
  <c r="AA61" i="1"/>
  <c r="AB61" i="1" s="1"/>
  <c r="AA60" i="1"/>
  <c r="AB60" i="1" s="1"/>
  <c r="AA59" i="1"/>
  <c r="AB59" i="1" s="1"/>
  <c r="AA57" i="1"/>
  <c r="AB57" i="1" s="1"/>
  <c r="AA56" i="1"/>
  <c r="AB56" i="1" s="1"/>
  <c r="AA55" i="1"/>
  <c r="AB55" i="1" s="1"/>
  <c r="AA54" i="1"/>
  <c r="AB54" i="1" s="1"/>
  <c r="AA53" i="1"/>
  <c r="AB53" i="1" s="1"/>
  <c r="AA52" i="1"/>
  <c r="AB52" i="1" s="1"/>
  <c r="AA47" i="1"/>
  <c r="AB47" i="1" s="1"/>
  <c r="AA46" i="1"/>
  <c r="AB46" i="1" s="1"/>
  <c r="AA45" i="1"/>
  <c r="AB45" i="1" s="1"/>
  <c r="AA44" i="1"/>
  <c r="AB44" i="1" s="1"/>
  <c r="AA43" i="1"/>
  <c r="AB43" i="1" s="1"/>
  <c r="AA42" i="1"/>
  <c r="AB42" i="1" s="1"/>
  <c r="AA40" i="1"/>
  <c r="AB40" i="1" s="1"/>
  <c r="AA39" i="1"/>
  <c r="AB39" i="1" s="1"/>
  <c r="AA38" i="1"/>
  <c r="AB38" i="1" s="1"/>
  <c r="AA37" i="1"/>
  <c r="AB37" i="1" s="1"/>
  <c r="AA35" i="1"/>
  <c r="AB35" i="1" s="1"/>
  <c r="AA34" i="1"/>
  <c r="AB34" i="1" s="1"/>
  <c r="AA33" i="1"/>
  <c r="AB33" i="1" s="1"/>
  <c r="AA32" i="1"/>
  <c r="AB32" i="1" s="1"/>
  <c r="AA31" i="1"/>
  <c r="AB31" i="1" s="1"/>
  <c r="AA30" i="1"/>
  <c r="AB30" i="1" s="1"/>
  <c r="AA25" i="1"/>
  <c r="AB25" i="1" s="1"/>
  <c r="AA24" i="1"/>
  <c r="AB24" i="1" s="1"/>
  <c r="AA23" i="1"/>
  <c r="AB23" i="1" s="1"/>
  <c r="AA22" i="1"/>
  <c r="AB22" i="1" s="1"/>
  <c r="AA21" i="1"/>
  <c r="AB21" i="1" s="1"/>
  <c r="AA20" i="1"/>
  <c r="AB20" i="1" s="1"/>
  <c r="AA18" i="1"/>
  <c r="AB18" i="1" s="1"/>
  <c r="AA17" i="1"/>
  <c r="AB17" i="1" s="1"/>
  <c r="AA16" i="1"/>
  <c r="AB16" i="1" s="1"/>
  <c r="AA15" i="1"/>
  <c r="AB15" i="1" s="1"/>
  <c r="AA13" i="1"/>
  <c r="AB13" i="1" s="1"/>
  <c r="AA299" i="1"/>
  <c r="AB299" i="1" s="1"/>
  <c r="AB10" i="1"/>
  <c r="AA9" i="1"/>
  <c r="AB298" i="1" l="1"/>
</calcChain>
</file>

<file path=xl/sharedStrings.xml><?xml version="1.0" encoding="utf-8"?>
<sst xmlns="http://schemas.openxmlformats.org/spreadsheetml/2006/main" count="298" uniqueCount="42">
  <si>
    <t>HOLLYWOOD CASINO</t>
  </si>
  <si>
    <t>Total Sports Wagering</t>
  </si>
  <si>
    <t>Handle*</t>
  </si>
  <si>
    <t>Revenue</t>
  </si>
  <si>
    <t>Promotional Credits</t>
  </si>
  <si>
    <t>Gross Revenue (Taxable)</t>
  </si>
  <si>
    <t>State Tax Due (34%)</t>
  </si>
  <si>
    <t>Local Share Assessment (2%)</t>
  </si>
  <si>
    <t>Retail Sports Wagering</t>
  </si>
  <si>
    <t>Online Sports Wagering</t>
  </si>
  <si>
    <t xml:space="preserve">State Tax Due (34%) </t>
  </si>
  <si>
    <t>PARX CASINO</t>
  </si>
  <si>
    <t>SOUTH PHILADELPHIA RACE AND SPORTSBOOK</t>
  </si>
  <si>
    <t>HARRAH'S</t>
  </si>
  <si>
    <t>VALLEY FORGE CASINO</t>
  </si>
  <si>
    <t>OAKS RACE AND SPORTSBOOK</t>
  </si>
  <si>
    <t>GRAND TOTAL</t>
  </si>
  <si>
    <t>FOOTNOTES:</t>
  </si>
  <si>
    <t>*Sports Wagering Gross Revenue reflects the Handle (wagers) less ONLY the payouts on winning wagers made DURING the reporting month. This means the Handle includes wagers received for future events in which the payout would not be made on a winning ticket until a future month. Therefore, a relevant win percentage cannot be calculated by simply dividing the Gross Revenue by the Handle reported during a like period.</t>
  </si>
  <si>
    <t>FY18 Grand Total</t>
  </si>
  <si>
    <t>Grand Total</t>
  </si>
  <si>
    <t>FY 2019/2020 Total</t>
  </si>
  <si>
    <t>July 2019</t>
  </si>
  <si>
    <t>August 2019</t>
  </si>
  <si>
    <t>September 2019</t>
  </si>
  <si>
    <t>October 2019</t>
  </si>
  <si>
    <t>November 2019</t>
  </si>
  <si>
    <t>December 2019</t>
  </si>
  <si>
    <t>January 2020</t>
  </si>
  <si>
    <t>February 2020</t>
  </si>
  <si>
    <t>March 2020</t>
  </si>
  <si>
    <t>April 2020</t>
  </si>
  <si>
    <t>May 2020</t>
  </si>
  <si>
    <t>June 2020</t>
  </si>
  <si>
    <t>PRESQUE ISLE</t>
  </si>
  <si>
    <t>MOUNT AIRY</t>
  </si>
  <si>
    <t>MOHEGAN</t>
  </si>
  <si>
    <t>RIVERS - PITTSBURGH</t>
  </si>
  <si>
    <t>RIVERS - PHILADELPHIA (FORMERLY SUGARHOUSE)</t>
  </si>
  <si>
    <t>MEADOWS</t>
  </si>
  <si>
    <t>MOHEGAN - LEHIGH VALLEY</t>
  </si>
  <si>
    <t xml:space="preserve">                                                                MONTHLY SPORTS WAGERING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</si>
</sst>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quot;$&quot;#,##0.00"/>
    <numFmt numFmtId="166" formatCode="0.0%"/>
    <numFmt numFmtId="167" formatCode="General_)"/>
  </numFmts>
  <fonts count="18" x14ac:knownFonts="1">
    <font>
      <sz val="11"/>
      <color theme="1"/>
      <name val="Calibri"/>
      <family val="2"/>
      <scheme val="minor"/>
    </font>
    <font>
      <sz val="10"/>
      <name val="Arial"/>
      <family val="2"/>
    </font>
    <font>
      <sz val="12"/>
      <name val="Calibri"/>
      <family val="2"/>
    </font>
    <font>
      <b/>
      <sz val="18"/>
      <name val="Calibri"/>
      <family val="2"/>
    </font>
    <font>
      <sz val="18"/>
      <color theme="1"/>
      <name val="Calibri"/>
      <family val="2"/>
      <scheme val="minor"/>
    </font>
    <font>
      <b/>
      <u/>
      <sz val="16"/>
      <name val="Calibri"/>
      <family val="2"/>
    </font>
    <font>
      <b/>
      <sz val="12"/>
      <name val="Calibri"/>
      <family val="2"/>
    </font>
    <font>
      <u/>
      <sz val="16"/>
      <name val="Calibri"/>
      <family val="2"/>
    </font>
    <font>
      <sz val="16"/>
      <name val="Calibri"/>
      <family val="2"/>
    </font>
    <font>
      <b/>
      <u/>
      <sz val="16"/>
      <color indexed="8"/>
      <name val="Calibri"/>
      <family val="2"/>
    </font>
    <font>
      <b/>
      <u/>
      <sz val="12"/>
      <color indexed="8"/>
      <name val="Calibri"/>
      <family val="2"/>
    </font>
    <font>
      <b/>
      <u/>
      <sz val="12"/>
      <name val="Calibri"/>
      <family val="2"/>
    </font>
    <font>
      <b/>
      <sz val="14"/>
      <color theme="1"/>
      <name val="Calibri"/>
      <family val="2"/>
      <scheme val="minor"/>
    </font>
    <font>
      <i/>
      <sz val="14"/>
      <color theme="1"/>
      <name val="Calibri"/>
      <family val="2"/>
      <scheme val="minor"/>
    </font>
    <font>
      <u/>
      <sz val="12"/>
      <name val="Calibri"/>
      <family val="2"/>
    </font>
    <font>
      <b/>
      <sz val="12"/>
      <color indexed="8"/>
      <name val="Calibri"/>
      <family val="2"/>
    </font>
    <font>
      <u/>
      <sz val="12"/>
      <color indexed="8"/>
      <name val="Calibri"/>
      <family val="2"/>
    </font>
    <font>
      <sz val="12"/>
      <name val="Helv"/>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167" fontId="17" fillId="0" borderId="0"/>
  </cellStyleXfs>
  <cellXfs count="58">
    <xf numFmtId="0" fontId="0" fillId="0" borderId="0" xfId="0"/>
    <xf numFmtId="0" fontId="2" fillId="0" borderId="0" xfId="1" applyFont="1"/>
    <xf numFmtId="0" fontId="5" fillId="0" borderId="0" xfId="1" applyFont="1" applyBorder="1"/>
    <xf numFmtId="0" fontId="6" fillId="0" borderId="1" xfId="1" applyFont="1" applyBorder="1"/>
    <xf numFmtId="0" fontId="7" fillId="0" borderId="0" xfId="1" applyFont="1" applyBorder="1"/>
    <xf numFmtId="0" fontId="2" fillId="0" borderId="0" xfId="1" applyFont="1" applyBorder="1"/>
    <xf numFmtId="0" fontId="9" fillId="0" borderId="0" xfId="1" applyFont="1"/>
    <xf numFmtId="0" fontId="8" fillId="0" borderId="0" xfId="1" applyFont="1" applyAlignment="1">
      <alignment horizontal="left" indent="1"/>
    </xf>
    <xf numFmtId="165" fontId="2" fillId="0" borderId="0" xfId="2" applyNumberFormat="1" applyFont="1" applyFill="1" applyAlignment="1"/>
    <xf numFmtId="0" fontId="6" fillId="0" borderId="0" xfId="1" applyFont="1"/>
    <xf numFmtId="0" fontId="8" fillId="0" borderId="0" xfId="0" applyFont="1" applyAlignment="1">
      <alignment horizontal="left" indent="1"/>
    </xf>
    <xf numFmtId="0" fontId="10" fillId="0" borderId="0" xfId="1" applyFont="1"/>
    <xf numFmtId="164" fontId="2" fillId="0" borderId="0" xfId="2" applyNumberFormat="1" applyFont="1" applyFill="1" applyAlignment="1"/>
    <xf numFmtId="164" fontId="2" fillId="0" borderId="0" xfId="1" applyNumberFormat="1" applyFont="1" applyAlignment="1"/>
    <xf numFmtId="164" fontId="11" fillId="0" borderId="0" xfId="1" applyNumberFormat="1" applyFont="1" applyFill="1" applyAlignment="1"/>
    <xf numFmtId="0" fontId="2" fillId="0" borderId="0" xfId="1" applyFont="1" applyAlignment="1">
      <alignment horizontal="left" indent="1"/>
    </xf>
    <xf numFmtId="164" fontId="11" fillId="0" borderId="0" xfId="1" applyNumberFormat="1" applyFont="1" applyAlignment="1"/>
    <xf numFmtId="0" fontId="2" fillId="0" borderId="0" xfId="0" applyFont="1" applyAlignment="1">
      <alignment horizontal="left" indent="1"/>
    </xf>
    <xf numFmtId="164" fontId="2" fillId="0" borderId="0" xfId="2" applyNumberFormat="1" applyFont="1" applyAlignment="1">
      <alignment horizontal="right"/>
    </xf>
    <xf numFmtId="164" fontId="6" fillId="0" borderId="0" xfId="2" applyNumberFormat="1" applyFont="1" applyFill="1" applyAlignment="1"/>
    <xf numFmtId="1" fontId="6" fillId="0" borderId="0" xfId="2" applyNumberFormat="1" applyFont="1" applyFill="1" applyAlignment="1"/>
    <xf numFmtId="164" fontId="2" fillId="0" borderId="0" xfId="2" applyNumberFormat="1" applyFont="1" applyAlignment="1"/>
    <xf numFmtId="0" fontId="6" fillId="0" borderId="0" xfId="1" applyFont="1" applyAlignment="1">
      <alignment horizontal="left"/>
    </xf>
    <xf numFmtId="0" fontId="11" fillId="0" borderId="0" xfId="1" applyFont="1" applyAlignment="1"/>
    <xf numFmtId="166" fontId="2" fillId="0" borderId="0" xfId="2" applyNumberFormat="1" applyFont="1" applyAlignment="1">
      <alignment horizontal="right"/>
    </xf>
    <xf numFmtId="166" fontId="2" fillId="0" borderId="0" xfId="2" applyNumberFormat="1" applyFont="1" applyAlignment="1"/>
    <xf numFmtId="8" fontId="2" fillId="0" borderId="0" xfId="1" applyNumberFormat="1" applyFont="1" applyAlignment="1"/>
    <xf numFmtId="37" fontId="2" fillId="0" borderId="0" xfId="3" applyNumberFormat="1" applyFont="1" applyAlignment="1">
      <alignment horizontal="right"/>
    </xf>
    <xf numFmtId="1" fontId="2" fillId="0" borderId="0" xfId="2" applyNumberFormat="1" applyFont="1" applyAlignment="1"/>
    <xf numFmtId="165" fontId="2" fillId="0" borderId="0" xfId="2" applyNumberFormat="1" applyFont="1" applyAlignment="1"/>
    <xf numFmtId="0" fontId="2" fillId="0" borderId="0" xfId="1" applyFont="1" applyAlignment="1"/>
    <xf numFmtId="43" fontId="2" fillId="0" borderId="0" xfId="4" applyFont="1" applyFill="1" applyAlignment="1"/>
    <xf numFmtId="0" fontId="11" fillId="0" borderId="0" xfId="1" applyFont="1"/>
    <xf numFmtId="3" fontId="6" fillId="0" borderId="0" xfId="2" applyNumberFormat="1" applyFont="1" applyFill="1" applyAlignment="1"/>
    <xf numFmtId="164" fontId="2" fillId="0" borderId="0" xfId="2" applyNumberFormat="1" applyFont="1" applyFill="1"/>
    <xf numFmtId="164" fontId="2" fillId="0" borderId="0" xfId="1" applyNumberFormat="1" applyFont="1"/>
    <xf numFmtId="0" fontId="12" fillId="0" borderId="0" xfId="0" applyFont="1"/>
    <xf numFmtId="164" fontId="0" fillId="0" borderId="0" xfId="0" applyNumberFormat="1"/>
    <xf numFmtId="0" fontId="0" fillId="0" borderId="0" xfId="0" applyAlignment="1"/>
    <xf numFmtId="0" fontId="4" fillId="0" borderId="0" xfId="0" applyFont="1" applyAlignment="1">
      <alignment horizontal="center"/>
    </xf>
    <xf numFmtId="49" fontId="6" fillId="0" borderId="1" xfId="1" applyNumberFormat="1" applyFont="1" applyBorder="1" applyAlignment="1">
      <alignment horizontal="center"/>
    </xf>
    <xf numFmtId="49" fontId="6" fillId="0" borderId="0" xfId="1" applyNumberFormat="1" applyFont="1" applyBorder="1" applyAlignment="1">
      <alignment horizontal="center"/>
    </xf>
    <xf numFmtId="49" fontId="6" fillId="0" borderId="1" xfId="1" applyNumberFormat="1" applyFont="1" applyBorder="1" applyAlignment="1">
      <alignment horizontal="center" wrapText="1"/>
    </xf>
    <xf numFmtId="0" fontId="11" fillId="0" borderId="0" xfId="1" applyFont="1" applyBorder="1"/>
    <xf numFmtId="0" fontId="14" fillId="0" borderId="0" xfId="1" applyFont="1" applyBorder="1"/>
    <xf numFmtId="0" fontId="15" fillId="0" borderId="0" xfId="1" applyFont="1"/>
    <xf numFmtId="0" fontId="6" fillId="0" borderId="0" xfId="0" applyFont="1" applyAlignment="1">
      <alignment horizontal="left" indent="1"/>
    </xf>
    <xf numFmtId="0" fontId="16" fillId="0" borderId="0" xfId="1" applyFont="1"/>
    <xf numFmtId="49" fontId="2" fillId="0" borderId="0" xfId="1" applyNumberFormat="1" applyFont="1" applyBorder="1" applyAlignment="1">
      <alignment horizontal="center"/>
    </xf>
    <xf numFmtId="164" fontId="11" fillId="0" borderId="0" xfId="1" applyNumberFormat="1" applyFont="1"/>
    <xf numFmtId="164" fontId="6" fillId="0" borderId="0" xfId="2" applyNumberFormat="1" applyFont="1" applyAlignment="1"/>
    <xf numFmtId="6" fontId="2" fillId="0" borderId="0" xfId="2" applyNumberFormat="1" applyFont="1" applyFill="1" applyAlignment="1"/>
    <xf numFmtId="8" fontId="0" fillId="0" borderId="0" xfId="0" applyNumberFormat="1"/>
    <xf numFmtId="0" fontId="2" fillId="0" borderId="0" xfId="1" applyFont="1" applyAlignment="1">
      <alignment horizontal="center" vertical="center"/>
    </xf>
    <xf numFmtId="0" fontId="0" fillId="0" borderId="0" xfId="0" applyAlignment="1"/>
    <xf numFmtId="0" fontId="3" fillId="0" borderId="0" xfId="1" applyFont="1" applyAlignment="1">
      <alignment horizontal="center" vertical="center"/>
    </xf>
    <xf numFmtId="0" fontId="4" fillId="0" borderId="0" xfId="0" applyFont="1" applyAlignment="1">
      <alignment horizontal="center"/>
    </xf>
    <xf numFmtId="0" fontId="13" fillId="0" borderId="0" xfId="0" applyFont="1" applyAlignment="1">
      <alignment horizontal="left" vertical="center" wrapText="1"/>
    </xf>
  </cellXfs>
  <cellStyles count="6">
    <cellStyle name="Comma 2" xfId="4" xr:uid="{6FA96660-B9CE-44C5-A49E-B1A779137F08}"/>
    <cellStyle name="Currency 2" xfId="3" xr:uid="{70782773-A5AD-4D01-90C3-3BD96C63E62C}"/>
    <cellStyle name="Normal" xfId="0" builtinId="0"/>
    <cellStyle name="Normal 2" xfId="1" xr:uid="{51E51AE6-84A9-4BD1-A72B-1B3199E48A85}"/>
    <cellStyle name="Normal 2 2" xfId="5" xr:uid="{894A84E7-6AD8-4089-90BA-C97952821642}"/>
    <cellStyle name="Percent 2" xfId="2" xr:uid="{A1C99785-004E-4426-AE91-B94534605E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551113</xdr:colOff>
      <xdr:row>0</xdr:row>
      <xdr:rowOff>28575</xdr:rowOff>
    </xdr:from>
    <xdr:to>
      <xdr:col>18</xdr:col>
      <xdr:colOff>821154</xdr:colOff>
      <xdr:row>2</xdr:row>
      <xdr:rowOff>66675</xdr:rowOff>
    </xdr:to>
    <xdr:pic>
      <xdr:nvPicPr>
        <xdr:cNvPr id="2" name="Picture 1" descr="LetterHead_Color-no-info">
          <a:extLst>
            <a:ext uri="{FF2B5EF4-FFF2-40B4-BE49-F238E27FC236}">
              <a16:creationId xmlns:a16="http://schemas.microsoft.com/office/drawing/2014/main" id="{6C3B6110-96B6-420D-A13B-BFE63636F9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7763" y="28575"/>
          <a:ext cx="6829591"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557C-0A62-4B8C-8E87-4FE1CDB9E0C5}">
  <dimension ref="A1:AC634"/>
  <sheetViews>
    <sheetView tabSelected="1" zoomScaleNormal="100" zoomScaleSheetLayoutView="75" workbookViewId="0">
      <selection activeCell="AI8" sqref="AI8"/>
    </sheetView>
  </sheetViews>
  <sheetFormatPr defaultColWidth="9.1796875" defaultRowHeight="15.5" x14ac:dyDescent="0.35"/>
  <cols>
    <col min="1" max="1" width="47.54296875" style="1" customWidth="1"/>
    <col min="2" max="2" width="3.7265625" style="1" customWidth="1"/>
    <col min="3" max="3" width="14.81640625" style="1" customWidth="1"/>
    <col min="4" max="4" width="3.1796875" style="1" customWidth="1"/>
    <col min="5" max="5" width="15.54296875" style="1" customWidth="1"/>
    <col min="6" max="6" width="2.81640625" style="1" customWidth="1"/>
    <col min="7" max="7" width="16.54296875" style="1" customWidth="1"/>
    <col min="8" max="8" width="3" style="1" customWidth="1"/>
    <col min="9" max="9" width="14.81640625" style="1" customWidth="1"/>
    <col min="10" max="10" width="3.54296875" style="1" customWidth="1"/>
    <col min="11" max="11" width="16.54296875" style="1" customWidth="1"/>
    <col min="12" max="12" width="3.54296875" style="1" customWidth="1"/>
    <col min="13" max="13" width="16.1796875" style="1" customWidth="1"/>
    <col min="14" max="14" width="3" style="1" customWidth="1"/>
    <col min="15" max="15" width="14.1796875" style="1" customWidth="1"/>
    <col min="16" max="16" width="3.81640625" style="1" customWidth="1"/>
    <col min="17" max="17" width="14.453125" style="1" customWidth="1"/>
    <col min="18" max="18" width="3.81640625" style="1" customWidth="1"/>
    <col min="19" max="19" width="12.7265625" style="1" customWidth="1"/>
    <col min="20" max="20" width="3" style="1" customWidth="1"/>
    <col min="21" max="21" width="14.1796875" style="1" customWidth="1"/>
    <col min="22" max="22" width="2.453125" style="1" customWidth="1"/>
    <col min="23" max="23" width="13.54296875" style="1" customWidth="1"/>
    <col min="24" max="24" width="3.1796875" style="1" customWidth="1"/>
    <col min="25" max="25" width="12.26953125" style="1" customWidth="1"/>
    <col min="26" max="26" width="2.81640625" style="1" customWidth="1"/>
    <col min="27" max="27" width="16.26953125" style="1" customWidth="1"/>
    <col min="28" max="28" width="19" style="1" customWidth="1"/>
    <col min="29" max="29" width="17.81640625" style="1" hidden="1" customWidth="1"/>
    <col min="30" max="16384" width="9.1796875" style="1"/>
  </cols>
  <sheetData>
    <row r="1" spans="1:29" ht="58.5" customHeight="1" x14ac:dyDescent="0.35">
      <c r="A1" s="53"/>
      <c r="B1" s="53"/>
      <c r="C1" s="54"/>
      <c r="D1" s="54"/>
      <c r="E1" s="54"/>
      <c r="F1" s="54"/>
      <c r="G1" s="54"/>
      <c r="H1" s="54"/>
      <c r="I1" s="54"/>
      <c r="J1" s="54"/>
      <c r="K1" s="54"/>
      <c r="L1" s="54"/>
      <c r="M1" s="54"/>
      <c r="N1" s="54"/>
      <c r="O1" s="54"/>
      <c r="P1" s="54"/>
      <c r="Q1" s="54"/>
      <c r="R1" s="54"/>
      <c r="S1" s="54"/>
      <c r="T1" s="54"/>
      <c r="U1" s="54"/>
      <c r="V1" s="54"/>
      <c r="W1" s="54"/>
      <c r="X1" s="54"/>
      <c r="Y1" s="54"/>
      <c r="Z1" s="54"/>
      <c r="AA1" s="54"/>
      <c r="AB1" s="38"/>
    </row>
    <row r="2" spans="1:29" ht="27" customHeight="1" x14ac:dyDescent="0.35">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38"/>
    </row>
    <row r="3" spans="1:29" ht="30.75" customHeight="1" x14ac:dyDescent="0.55000000000000004">
      <c r="A3" s="55" t="s">
        <v>41</v>
      </c>
      <c r="B3" s="55"/>
      <c r="C3" s="56"/>
      <c r="D3" s="56"/>
      <c r="E3" s="56"/>
      <c r="F3" s="56"/>
      <c r="G3" s="56"/>
      <c r="H3" s="56"/>
      <c r="I3" s="56"/>
      <c r="J3" s="56"/>
      <c r="K3" s="56"/>
      <c r="L3" s="56"/>
      <c r="M3" s="56"/>
      <c r="N3" s="56"/>
      <c r="O3" s="56"/>
      <c r="P3" s="56"/>
      <c r="Q3" s="56"/>
      <c r="R3" s="56"/>
      <c r="S3" s="56"/>
      <c r="T3" s="56"/>
      <c r="U3" s="56"/>
      <c r="V3" s="56"/>
      <c r="W3" s="56"/>
      <c r="X3" s="56"/>
      <c r="Y3" s="56"/>
      <c r="Z3" s="56"/>
      <c r="AA3" s="56"/>
      <c r="AB3" s="39"/>
    </row>
    <row r="4" spans="1:29" s="3" customFormat="1" ht="42.75" customHeight="1" x14ac:dyDescent="0.5">
      <c r="A4" s="43"/>
      <c r="B4" s="2"/>
      <c r="C4" s="40" t="s">
        <v>22</v>
      </c>
      <c r="D4" s="41"/>
      <c r="E4" s="40" t="s">
        <v>23</v>
      </c>
      <c r="F4" s="41"/>
      <c r="G4" s="40" t="s">
        <v>24</v>
      </c>
      <c r="H4" s="41"/>
      <c r="I4" s="40" t="s">
        <v>25</v>
      </c>
      <c r="J4" s="41"/>
      <c r="K4" s="40" t="s">
        <v>26</v>
      </c>
      <c r="L4" s="41"/>
      <c r="M4" s="40" t="s">
        <v>27</v>
      </c>
      <c r="N4" s="41"/>
      <c r="O4" s="40" t="s">
        <v>28</v>
      </c>
      <c r="P4" s="41"/>
      <c r="Q4" s="40" t="s">
        <v>29</v>
      </c>
      <c r="R4" s="41"/>
      <c r="S4" s="40" t="s">
        <v>30</v>
      </c>
      <c r="T4" s="41"/>
      <c r="U4" s="40" t="s">
        <v>31</v>
      </c>
      <c r="V4" s="41"/>
      <c r="W4" s="40" t="s">
        <v>32</v>
      </c>
      <c r="X4" s="41"/>
      <c r="Y4" s="40" t="s">
        <v>33</v>
      </c>
      <c r="Z4" s="41"/>
      <c r="AA4" s="42" t="s">
        <v>21</v>
      </c>
      <c r="AB4" s="42" t="s">
        <v>20</v>
      </c>
      <c r="AC4" s="3" t="s">
        <v>19</v>
      </c>
    </row>
    <row r="5" spans="1:29" s="5" customFormat="1" ht="21" x14ac:dyDescent="0.5">
      <c r="A5" s="44"/>
      <c r="B5" s="4"/>
      <c r="C5" s="48"/>
      <c r="D5" s="48"/>
      <c r="E5" s="48"/>
      <c r="F5" s="48"/>
      <c r="G5" s="48"/>
      <c r="H5" s="48"/>
      <c r="I5" s="48"/>
      <c r="J5" s="48"/>
      <c r="K5" s="48"/>
      <c r="L5" s="48"/>
      <c r="M5" s="48"/>
      <c r="N5" s="48"/>
      <c r="O5" s="48"/>
      <c r="P5" s="48"/>
      <c r="Q5" s="48"/>
      <c r="R5" s="48"/>
      <c r="S5" s="48"/>
      <c r="T5" s="48"/>
      <c r="U5" s="48"/>
      <c r="V5" s="48"/>
      <c r="W5" s="48"/>
      <c r="X5" s="48"/>
      <c r="Y5" s="48"/>
      <c r="Z5" s="48"/>
      <c r="AA5" s="48"/>
      <c r="AB5" s="48"/>
    </row>
    <row r="6" spans="1:29" ht="15.75" customHeight="1" x14ac:dyDescent="0.5">
      <c r="A6" s="11" t="s">
        <v>0</v>
      </c>
      <c r="B6" s="6"/>
      <c r="C6" s="32"/>
      <c r="D6" s="32"/>
      <c r="E6" s="32"/>
      <c r="F6" s="32"/>
      <c r="G6" s="32"/>
      <c r="H6" s="32"/>
      <c r="I6" s="32"/>
      <c r="J6" s="32"/>
      <c r="K6" s="32"/>
      <c r="L6" s="32"/>
      <c r="M6" s="32"/>
      <c r="N6" s="32"/>
      <c r="O6" s="32"/>
      <c r="P6" s="32"/>
      <c r="Q6" s="32"/>
      <c r="R6" s="32"/>
      <c r="S6" s="32"/>
      <c r="T6" s="32"/>
      <c r="U6" s="32"/>
      <c r="V6" s="32"/>
      <c r="W6" s="32"/>
      <c r="X6" s="32"/>
      <c r="Y6" s="32"/>
      <c r="Z6" s="32"/>
      <c r="AA6" s="32"/>
      <c r="AB6" s="32"/>
    </row>
    <row r="7" spans="1:29" ht="15.75" customHeight="1" x14ac:dyDescent="0.5">
      <c r="A7" s="45" t="s">
        <v>1</v>
      </c>
      <c r="B7" s="6"/>
      <c r="C7" s="32"/>
      <c r="D7" s="32"/>
      <c r="E7" s="32"/>
      <c r="F7" s="32"/>
      <c r="G7" s="32"/>
      <c r="H7" s="32"/>
      <c r="I7" s="32"/>
      <c r="J7" s="32"/>
      <c r="K7" s="32"/>
      <c r="L7" s="32"/>
      <c r="M7" s="32"/>
      <c r="N7" s="32"/>
      <c r="O7" s="32"/>
      <c r="P7" s="32"/>
      <c r="Q7" s="32"/>
      <c r="R7" s="32"/>
      <c r="S7" s="32"/>
      <c r="T7" s="32"/>
      <c r="U7" s="32"/>
      <c r="V7" s="32"/>
      <c r="W7" s="32"/>
      <c r="X7" s="32"/>
      <c r="Y7" s="32"/>
      <c r="Z7" s="32"/>
      <c r="AA7" s="32"/>
      <c r="AB7" s="32"/>
    </row>
    <row r="8" spans="1:29" ht="15.75" customHeight="1" x14ac:dyDescent="0.5">
      <c r="A8" s="15" t="s">
        <v>2</v>
      </c>
      <c r="B8" s="6"/>
      <c r="C8" s="12">
        <v>1772465.6</v>
      </c>
      <c r="D8" s="49"/>
      <c r="E8" s="12">
        <v>2055786.35</v>
      </c>
      <c r="F8" s="49"/>
      <c r="G8" s="12">
        <v>3286460.3</v>
      </c>
      <c r="H8" s="49"/>
      <c r="I8" s="12">
        <v>2958213.06</v>
      </c>
      <c r="J8" s="49"/>
      <c r="K8" s="12">
        <v>3769097.76</v>
      </c>
      <c r="L8" s="49"/>
      <c r="M8" s="12">
        <v>3236536.85</v>
      </c>
      <c r="N8" s="49"/>
      <c r="O8" s="12">
        <v>2597978.71</v>
      </c>
      <c r="P8" s="49"/>
      <c r="Q8" s="51">
        <v>2141897.37</v>
      </c>
      <c r="R8" s="49"/>
      <c r="S8" s="12">
        <v>571510.92000000004</v>
      </c>
      <c r="T8" s="12"/>
      <c r="U8" s="12">
        <v>0</v>
      </c>
      <c r="V8" s="12"/>
      <c r="W8" s="12">
        <v>0</v>
      </c>
      <c r="X8" s="12"/>
      <c r="Y8" s="51">
        <v>65373.13</v>
      </c>
      <c r="Z8" s="49"/>
      <c r="AA8" s="12">
        <f>SUM(C8:Z8)</f>
        <v>22455320.050000004</v>
      </c>
      <c r="AB8" s="12">
        <f>AA8+AC8</f>
        <v>52969000.240000002</v>
      </c>
      <c r="AC8" s="8">
        <v>30513680.189999998</v>
      </c>
    </row>
    <row r="9" spans="1:29" ht="15.75" customHeight="1" x14ac:dyDescent="0.5">
      <c r="A9" s="15" t="s">
        <v>3</v>
      </c>
      <c r="B9" s="6"/>
      <c r="C9" s="12">
        <v>196188.25</v>
      </c>
      <c r="D9" s="49"/>
      <c r="E9" s="12">
        <v>309171.40000000002</v>
      </c>
      <c r="F9" s="49"/>
      <c r="G9" s="12">
        <v>590006.05000000005</v>
      </c>
      <c r="H9" s="49"/>
      <c r="I9" s="12">
        <v>350083.46</v>
      </c>
      <c r="J9" s="49"/>
      <c r="K9" s="12">
        <v>48519.95</v>
      </c>
      <c r="L9" s="49"/>
      <c r="M9" s="12">
        <v>112276.84</v>
      </c>
      <c r="N9" s="49"/>
      <c r="O9" s="12">
        <v>180249.08</v>
      </c>
      <c r="P9" s="49"/>
      <c r="Q9" s="51">
        <v>-150052.72</v>
      </c>
      <c r="R9" s="49"/>
      <c r="S9" s="12">
        <v>53729.75</v>
      </c>
      <c r="T9" s="12"/>
      <c r="U9" s="12">
        <v>0</v>
      </c>
      <c r="V9" s="12"/>
      <c r="W9" s="12">
        <v>0</v>
      </c>
      <c r="X9" s="12"/>
      <c r="Y9" s="51">
        <v>-10293.74</v>
      </c>
      <c r="Z9" s="49"/>
      <c r="AA9" s="12">
        <f t="shared" ref="AA9:AA13" si="0">SUM(C9:Z9)</f>
        <v>1679878.3200000003</v>
      </c>
      <c r="AB9" s="12">
        <f>AA9+AC9</f>
        <v>3963905.46</v>
      </c>
      <c r="AC9" s="13">
        <v>2284027.1399999997</v>
      </c>
    </row>
    <row r="10" spans="1:29" ht="15.75" customHeight="1" x14ac:dyDescent="0.5">
      <c r="A10" s="15" t="s">
        <v>4</v>
      </c>
      <c r="B10" s="6"/>
      <c r="C10" s="12">
        <v>0</v>
      </c>
      <c r="D10" s="49"/>
      <c r="E10" s="12">
        <v>0</v>
      </c>
      <c r="F10" s="49"/>
      <c r="G10" s="12">
        <v>0</v>
      </c>
      <c r="H10" s="49"/>
      <c r="I10" s="12">
        <v>0</v>
      </c>
      <c r="J10" s="49"/>
      <c r="K10" s="12">
        <v>0</v>
      </c>
      <c r="L10" s="49"/>
      <c r="M10" s="12">
        <v>0</v>
      </c>
      <c r="N10" s="49"/>
      <c r="O10" s="12">
        <v>0</v>
      </c>
      <c r="P10" s="49"/>
      <c r="Q10" s="51">
        <v>0</v>
      </c>
      <c r="R10" s="49"/>
      <c r="S10" s="12">
        <v>0</v>
      </c>
      <c r="T10" s="12"/>
      <c r="U10" s="12">
        <v>0</v>
      </c>
      <c r="V10" s="12"/>
      <c r="W10" s="12">
        <v>0</v>
      </c>
      <c r="X10" s="12"/>
      <c r="Y10" s="51">
        <v>0</v>
      </c>
      <c r="Z10" s="49"/>
      <c r="AA10" s="12">
        <f t="shared" si="0"/>
        <v>0</v>
      </c>
      <c r="AB10" s="12">
        <f t="shared" ref="AB10:AB13" si="1">AA10+AC10</f>
        <v>0</v>
      </c>
      <c r="AC10" s="13">
        <v>0</v>
      </c>
    </row>
    <row r="11" spans="1:29" s="9" customFormat="1" ht="15.75" customHeight="1" x14ac:dyDescent="0.5">
      <c r="A11" s="15" t="s">
        <v>5</v>
      </c>
      <c r="B11" s="7"/>
      <c r="C11" s="12">
        <v>196188.25</v>
      </c>
      <c r="D11" s="12"/>
      <c r="E11" s="12">
        <v>309171.40000000002</v>
      </c>
      <c r="F11" s="12"/>
      <c r="G11" s="12">
        <v>590006.05000000005</v>
      </c>
      <c r="H11" s="12"/>
      <c r="I11" s="12">
        <v>350083.46</v>
      </c>
      <c r="J11" s="12"/>
      <c r="K11" s="12">
        <v>48519.95</v>
      </c>
      <c r="L11" s="12"/>
      <c r="M11" s="12">
        <v>112276.84</v>
      </c>
      <c r="N11" s="12"/>
      <c r="O11" s="12">
        <v>180249.08</v>
      </c>
      <c r="P11" s="12"/>
      <c r="Q11" s="51">
        <v>-150052.72</v>
      </c>
      <c r="R11" s="12"/>
      <c r="S11" s="12">
        <v>53729.75</v>
      </c>
      <c r="T11" s="12"/>
      <c r="U11" s="12">
        <v>0</v>
      </c>
      <c r="V11" s="12"/>
      <c r="W11" s="12">
        <v>0</v>
      </c>
      <c r="X11" s="12"/>
      <c r="Y11" s="51">
        <v>-10293.74</v>
      </c>
      <c r="Z11" s="50"/>
      <c r="AA11" s="12">
        <f t="shared" si="0"/>
        <v>1679878.3200000003</v>
      </c>
      <c r="AB11" s="12">
        <f t="shared" si="1"/>
        <v>3963905.46</v>
      </c>
      <c r="AC11" s="13">
        <v>2284027.1399999997</v>
      </c>
    </row>
    <row r="12" spans="1:29" ht="15.75" customHeight="1" x14ac:dyDescent="0.5">
      <c r="A12" s="15" t="s">
        <v>6</v>
      </c>
      <c r="B12" s="7"/>
      <c r="C12" s="12">
        <v>66704.009999999995</v>
      </c>
      <c r="D12" s="12"/>
      <c r="E12" s="12">
        <v>105118.28</v>
      </c>
      <c r="F12" s="12"/>
      <c r="G12" s="12">
        <v>200602.06</v>
      </c>
      <c r="H12" s="12"/>
      <c r="I12" s="12">
        <v>119028.38</v>
      </c>
      <c r="J12" s="12"/>
      <c r="K12" s="12">
        <v>16496.78</v>
      </c>
      <c r="L12" s="12"/>
      <c r="M12" s="12">
        <v>38174.129999999997</v>
      </c>
      <c r="N12" s="12"/>
      <c r="O12" s="12">
        <v>61284.69</v>
      </c>
      <c r="P12" s="12"/>
      <c r="Q12" s="51">
        <v>-51017.919999999998</v>
      </c>
      <c r="R12" s="12"/>
      <c r="S12" s="12">
        <v>18268.12</v>
      </c>
      <c r="T12" s="12"/>
      <c r="U12" s="12">
        <v>0</v>
      </c>
      <c r="V12" s="12"/>
      <c r="W12" s="12">
        <v>0</v>
      </c>
      <c r="X12" s="12"/>
      <c r="Y12" s="51">
        <v>-3499.87</v>
      </c>
      <c r="Z12" s="21"/>
      <c r="AA12" s="12">
        <f t="shared" si="0"/>
        <v>571158.66</v>
      </c>
      <c r="AB12" s="12">
        <f t="shared" si="1"/>
        <v>1347727.8740000001</v>
      </c>
      <c r="AC12" s="13">
        <v>776569.21400000004</v>
      </c>
    </row>
    <row r="13" spans="1:29" ht="15.75" customHeight="1" x14ac:dyDescent="0.5">
      <c r="A13" s="17" t="s">
        <v>7</v>
      </c>
      <c r="B13" s="10"/>
      <c r="C13" s="12">
        <v>3923.77</v>
      </c>
      <c r="D13" s="12"/>
      <c r="E13" s="12">
        <v>6183.43</v>
      </c>
      <c r="F13" s="12"/>
      <c r="G13" s="12">
        <v>11800.12</v>
      </c>
      <c r="H13" s="12"/>
      <c r="I13" s="12">
        <v>7001.67</v>
      </c>
      <c r="J13" s="12"/>
      <c r="K13" s="12">
        <v>970.4</v>
      </c>
      <c r="L13" s="12"/>
      <c r="M13" s="12">
        <v>2245.54</v>
      </c>
      <c r="N13" s="12"/>
      <c r="O13" s="12">
        <v>3604.98</v>
      </c>
      <c r="P13" s="12"/>
      <c r="Q13" s="51">
        <v>-3001.05</v>
      </c>
      <c r="R13" s="12"/>
      <c r="S13" s="12">
        <v>1074.5999999999999</v>
      </c>
      <c r="T13" s="12"/>
      <c r="U13" s="12">
        <v>0</v>
      </c>
      <c r="V13" s="12"/>
      <c r="W13" s="12">
        <v>0</v>
      </c>
      <c r="X13" s="12"/>
      <c r="Y13" s="51">
        <v>-205.87</v>
      </c>
      <c r="Z13" s="21"/>
      <c r="AA13" s="12">
        <f t="shared" si="0"/>
        <v>33597.590000000004</v>
      </c>
      <c r="AB13" s="12">
        <f t="shared" si="1"/>
        <v>79278.162000000011</v>
      </c>
      <c r="AC13" s="13">
        <v>45680.572</v>
      </c>
    </row>
    <row r="14" spans="1:29" ht="15.75" customHeight="1" x14ac:dyDescent="0.5">
      <c r="A14" s="46" t="s">
        <v>8</v>
      </c>
      <c r="B14" s="10"/>
      <c r="C14" s="12"/>
      <c r="D14" s="12"/>
      <c r="E14" s="12"/>
      <c r="F14" s="12"/>
      <c r="G14" s="12"/>
      <c r="H14" s="12"/>
      <c r="I14" s="12"/>
      <c r="J14" s="12"/>
      <c r="K14" s="12"/>
      <c r="L14" s="12"/>
      <c r="M14" s="12"/>
      <c r="N14" s="12"/>
      <c r="O14" s="12"/>
      <c r="P14" s="12"/>
      <c r="Q14" s="51"/>
      <c r="R14" s="12"/>
      <c r="S14" s="12"/>
      <c r="T14" s="12"/>
      <c r="U14" s="12"/>
      <c r="V14" s="12"/>
      <c r="W14" s="12"/>
      <c r="X14" s="12"/>
      <c r="Y14" s="51"/>
      <c r="Z14" s="21"/>
      <c r="AA14" s="12"/>
      <c r="AB14" s="12"/>
      <c r="AC14" s="13"/>
    </row>
    <row r="15" spans="1:29" ht="15.75" customHeight="1" x14ac:dyDescent="0.5">
      <c r="A15" s="15" t="s">
        <v>2</v>
      </c>
      <c r="B15" s="10"/>
      <c r="C15" s="12">
        <v>1772465.6</v>
      </c>
      <c r="D15" s="12"/>
      <c r="E15" s="12">
        <v>2055786.35</v>
      </c>
      <c r="F15" s="12"/>
      <c r="G15" s="12">
        <v>3286460.3</v>
      </c>
      <c r="H15" s="12"/>
      <c r="I15" s="12">
        <v>2958213.06</v>
      </c>
      <c r="J15" s="12"/>
      <c r="K15" s="12">
        <v>3769097.76</v>
      </c>
      <c r="L15" s="12"/>
      <c r="M15" s="12">
        <v>3236536.85</v>
      </c>
      <c r="N15" s="12"/>
      <c r="O15" s="12">
        <v>2597978.71</v>
      </c>
      <c r="P15" s="12"/>
      <c r="Q15" s="51">
        <v>2141897.37</v>
      </c>
      <c r="R15" s="12"/>
      <c r="S15" s="12">
        <v>571510.92000000004</v>
      </c>
      <c r="T15" s="12"/>
      <c r="U15" s="12">
        <v>0</v>
      </c>
      <c r="V15" s="12"/>
      <c r="W15" s="12">
        <v>0</v>
      </c>
      <c r="X15" s="12"/>
      <c r="Y15" s="51">
        <v>65373.13</v>
      </c>
      <c r="Z15" s="21"/>
      <c r="AA15" s="12">
        <f>SUM(C15:Z15)</f>
        <v>22455320.050000004</v>
      </c>
      <c r="AB15" s="12">
        <f t="shared" ref="AB15:AB18" si="2">AA15+AC15</f>
        <v>52969000.240000002</v>
      </c>
      <c r="AC15" s="13">
        <v>30513680.189999998</v>
      </c>
    </row>
    <row r="16" spans="1:29" ht="15.75" customHeight="1" x14ac:dyDescent="0.5">
      <c r="A16" s="15" t="s">
        <v>5</v>
      </c>
      <c r="B16" s="10"/>
      <c r="C16" s="12">
        <v>196188.25</v>
      </c>
      <c r="D16" s="12"/>
      <c r="E16" s="12">
        <v>309171.40000000002</v>
      </c>
      <c r="F16" s="12"/>
      <c r="G16" s="12">
        <v>590006.05000000005</v>
      </c>
      <c r="H16" s="12"/>
      <c r="I16" s="12">
        <v>350083.46</v>
      </c>
      <c r="J16" s="12"/>
      <c r="K16" s="12">
        <v>48519.95</v>
      </c>
      <c r="L16" s="12"/>
      <c r="M16" s="12">
        <v>112276.84</v>
      </c>
      <c r="N16" s="12"/>
      <c r="O16" s="12">
        <v>180249.08</v>
      </c>
      <c r="P16" s="12"/>
      <c r="Q16" s="51">
        <v>-150052.72</v>
      </c>
      <c r="R16" s="12"/>
      <c r="S16" s="12">
        <v>53729.75</v>
      </c>
      <c r="T16" s="12"/>
      <c r="U16" s="12">
        <v>0</v>
      </c>
      <c r="V16" s="12"/>
      <c r="W16" s="12">
        <v>0</v>
      </c>
      <c r="X16" s="12"/>
      <c r="Y16" s="51">
        <v>-10293.74</v>
      </c>
      <c r="Z16" s="21"/>
      <c r="AA16" s="12">
        <f>SUM(C16:Z16)</f>
        <v>1679878.3200000003</v>
      </c>
      <c r="AB16" s="12">
        <f t="shared" si="2"/>
        <v>3963905.46</v>
      </c>
      <c r="AC16" s="13">
        <v>2284027.1399999997</v>
      </c>
    </row>
    <row r="17" spans="1:29" ht="15.75" customHeight="1" x14ac:dyDescent="0.5">
      <c r="A17" s="15" t="s">
        <v>6</v>
      </c>
      <c r="B17" s="10"/>
      <c r="C17" s="12">
        <v>66704.009999999995</v>
      </c>
      <c r="D17" s="12"/>
      <c r="E17" s="12">
        <v>105118.28</v>
      </c>
      <c r="F17" s="12"/>
      <c r="G17" s="12">
        <v>200602.06</v>
      </c>
      <c r="H17" s="12"/>
      <c r="I17" s="12">
        <v>119028.38</v>
      </c>
      <c r="J17" s="12"/>
      <c r="K17" s="12">
        <v>16496.78</v>
      </c>
      <c r="L17" s="12"/>
      <c r="M17" s="12">
        <v>38174.129999999997</v>
      </c>
      <c r="N17" s="12"/>
      <c r="O17" s="12">
        <v>61284.69</v>
      </c>
      <c r="P17" s="12"/>
      <c r="Q17" s="51">
        <v>-51017.919999999998</v>
      </c>
      <c r="R17" s="12"/>
      <c r="S17" s="12">
        <v>18268.12</v>
      </c>
      <c r="T17" s="12"/>
      <c r="U17" s="12">
        <v>0</v>
      </c>
      <c r="V17" s="12"/>
      <c r="W17" s="12">
        <v>0</v>
      </c>
      <c r="X17" s="12"/>
      <c r="Y17" s="51">
        <v>-3499.87</v>
      </c>
      <c r="Z17" s="21"/>
      <c r="AA17" s="12">
        <f>SUM(C17:Z17)</f>
        <v>571158.66</v>
      </c>
      <c r="AB17" s="12">
        <f t="shared" si="2"/>
        <v>1347727.8740000001</v>
      </c>
      <c r="AC17" s="13">
        <v>776569.21400000004</v>
      </c>
    </row>
    <row r="18" spans="1:29" ht="15.75" customHeight="1" x14ac:dyDescent="0.5">
      <c r="A18" s="17" t="s">
        <v>7</v>
      </c>
      <c r="B18" s="10"/>
      <c r="C18" s="12">
        <v>3923.77</v>
      </c>
      <c r="D18" s="12"/>
      <c r="E18" s="12">
        <v>6183.43</v>
      </c>
      <c r="F18" s="12"/>
      <c r="G18" s="12">
        <v>11800.12</v>
      </c>
      <c r="H18" s="12"/>
      <c r="I18" s="12">
        <v>7001.67</v>
      </c>
      <c r="J18" s="12"/>
      <c r="K18" s="12">
        <v>970.4</v>
      </c>
      <c r="L18" s="12"/>
      <c r="M18" s="12">
        <v>2245.54</v>
      </c>
      <c r="N18" s="12"/>
      <c r="O18" s="12">
        <v>3604.98</v>
      </c>
      <c r="P18" s="12"/>
      <c r="Q18" s="51">
        <v>-3001.05</v>
      </c>
      <c r="R18" s="12"/>
      <c r="S18" s="12">
        <v>1074.5999999999999</v>
      </c>
      <c r="T18" s="12"/>
      <c r="U18" s="12">
        <v>0</v>
      </c>
      <c r="V18" s="12"/>
      <c r="W18" s="12">
        <v>0</v>
      </c>
      <c r="X18" s="12"/>
      <c r="Y18" s="51">
        <v>-205.87</v>
      </c>
      <c r="Z18" s="21"/>
      <c r="AA18" s="12">
        <f>SUM(C18:Z18)</f>
        <v>33597.590000000004</v>
      </c>
      <c r="AB18" s="12">
        <f t="shared" si="2"/>
        <v>79278.162000000011</v>
      </c>
      <c r="AC18" s="13">
        <v>45680.572</v>
      </c>
    </row>
    <row r="19" spans="1:29" ht="15.75" customHeight="1" x14ac:dyDescent="0.5">
      <c r="A19" s="46" t="s">
        <v>9</v>
      </c>
      <c r="B19" s="10"/>
      <c r="C19" s="12"/>
      <c r="D19" s="12"/>
      <c r="E19" s="12"/>
      <c r="F19" s="12"/>
      <c r="G19" s="12"/>
      <c r="H19" s="12"/>
      <c r="I19" s="12"/>
      <c r="J19" s="12"/>
      <c r="K19" s="12"/>
      <c r="L19" s="12"/>
      <c r="M19" s="12"/>
      <c r="N19" s="12"/>
      <c r="O19" s="12"/>
      <c r="P19" s="12"/>
      <c r="Q19" s="51"/>
      <c r="R19" s="12"/>
      <c r="S19" s="12"/>
      <c r="T19" s="12"/>
      <c r="U19" s="12"/>
      <c r="V19" s="12"/>
      <c r="W19" s="12"/>
      <c r="X19" s="12"/>
      <c r="Y19" s="51"/>
      <c r="Z19" s="21"/>
      <c r="AA19" s="12"/>
      <c r="AB19" s="12"/>
      <c r="AC19" s="13"/>
    </row>
    <row r="20" spans="1:29" ht="15.75" customHeight="1" x14ac:dyDescent="0.5">
      <c r="A20" s="17" t="s">
        <v>2</v>
      </c>
      <c r="B20" s="10"/>
      <c r="C20" s="12">
        <v>0</v>
      </c>
      <c r="D20" s="12"/>
      <c r="E20" s="12">
        <v>0</v>
      </c>
      <c r="F20" s="12"/>
      <c r="G20" s="12">
        <v>0</v>
      </c>
      <c r="H20" s="12"/>
      <c r="I20" s="12">
        <v>0</v>
      </c>
      <c r="J20" s="12"/>
      <c r="K20" s="12">
        <v>0</v>
      </c>
      <c r="L20" s="12"/>
      <c r="M20" s="12">
        <v>0</v>
      </c>
      <c r="N20" s="12"/>
      <c r="O20" s="12">
        <v>0</v>
      </c>
      <c r="P20" s="12"/>
      <c r="Q20" s="51">
        <v>0</v>
      </c>
      <c r="R20" s="12"/>
      <c r="S20" s="12">
        <v>0</v>
      </c>
      <c r="T20" s="12"/>
      <c r="U20" s="12">
        <v>0</v>
      </c>
      <c r="V20" s="12"/>
      <c r="W20" s="12">
        <v>0</v>
      </c>
      <c r="X20" s="12"/>
      <c r="Y20" s="51">
        <v>0</v>
      </c>
      <c r="Z20" s="21"/>
      <c r="AA20" s="12">
        <f t="shared" ref="AA20:AA25" si="3">SUM(C20:Z20)</f>
        <v>0</v>
      </c>
      <c r="AB20" s="12">
        <f t="shared" ref="AB20:AB25" si="4">AA20+AC20</f>
        <v>0</v>
      </c>
      <c r="AC20" s="13">
        <v>0</v>
      </c>
    </row>
    <row r="21" spans="1:29" ht="15.75" customHeight="1" x14ac:dyDescent="0.5">
      <c r="A21" s="17" t="s">
        <v>3</v>
      </c>
      <c r="B21" s="10"/>
      <c r="C21" s="12">
        <v>0</v>
      </c>
      <c r="D21" s="12"/>
      <c r="E21" s="12">
        <v>0</v>
      </c>
      <c r="F21" s="12"/>
      <c r="G21" s="12">
        <v>0</v>
      </c>
      <c r="H21" s="12"/>
      <c r="I21" s="12">
        <v>0</v>
      </c>
      <c r="J21" s="12"/>
      <c r="K21" s="12">
        <v>0</v>
      </c>
      <c r="L21" s="12"/>
      <c r="M21" s="12">
        <v>0</v>
      </c>
      <c r="N21" s="12"/>
      <c r="O21" s="12">
        <v>0</v>
      </c>
      <c r="P21" s="12"/>
      <c r="Q21" s="51">
        <v>0</v>
      </c>
      <c r="R21" s="12"/>
      <c r="S21" s="12">
        <v>0</v>
      </c>
      <c r="T21" s="12"/>
      <c r="U21" s="12">
        <v>0</v>
      </c>
      <c r="V21" s="12"/>
      <c r="W21" s="12">
        <v>0</v>
      </c>
      <c r="X21" s="12"/>
      <c r="Y21" s="51">
        <v>0</v>
      </c>
      <c r="Z21" s="21"/>
      <c r="AA21" s="12">
        <f t="shared" si="3"/>
        <v>0</v>
      </c>
      <c r="AB21" s="12">
        <f t="shared" si="4"/>
        <v>0</v>
      </c>
      <c r="AC21" s="13">
        <v>0</v>
      </c>
    </row>
    <row r="22" spans="1:29" ht="15.75" customHeight="1" x14ac:dyDescent="0.5">
      <c r="A22" s="17" t="s">
        <v>4</v>
      </c>
      <c r="B22" s="10"/>
      <c r="C22" s="12">
        <v>0</v>
      </c>
      <c r="D22" s="12"/>
      <c r="E22" s="12">
        <v>0</v>
      </c>
      <c r="F22" s="12"/>
      <c r="G22" s="12">
        <v>0</v>
      </c>
      <c r="H22" s="12"/>
      <c r="I22" s="12">
        <v>0</v>
      </c>
      <c r="J22" s="12"/>
      <c r="K22" s="12">
        <v>0</v>
      </c>
      <c r="L22" s="12"/>
      <c r="M22" s="12">
        <v>0</v>
      </c>
      <c r="N22" s="12"/>
      <c r="O22" s="12">
        <v>0</v>
      </c>
      <c r="P22" s="12"/>
      <c r="Q22" s="51">
        <v>0</v>
      </c>
      <c r="R22" s="12"/>
      <c r="S22" s="12">
        <v>0</v>
      </c>
      <c r="T22" s="12"/>
      <c r="U22" s="12">
        <v>0</v>
      </c>
      <c r="V22" s="12"/>
      <c r="W22" s="12">
        <v>0</v>
      </c>
      <c r="X22" s="12"/>
      <c r="Y22" s="51">
        <v>0</v>
      </c>
      <c r="Z22" s="21"/>
      <c r="AA22" s="12">
        <f t="shared" si="3"/>
        <v>0</v>
      </c>
      <c r="AB22" s="12">
        <f t="shared" si="4"/>
        <v>0</v>
      </c>
      <c r="AC22" s="13">
        <v>0</v>
      </c>
    </row>
    <row r="23" spans="1:29" ht="15.75" customHeight="1" x14ac:dyDescent="0.5">
      <c r="A23" s="17" t="s">
        <v>5</v>
      </c>
      <c r="B23" s="10"/>
      <c r="C23" s="12">
        <v>0</v>
      </c>
      <c r="D23" s="12"/>
      <c r="E23" s="12">
        <v>0</v>
      </c>
      <c r="F23" s="12"/>
      <c r="G23" s="12">
        <v>0</v>
      </c>
      <c r="H23" s="12"/>
      <c r="I23" s="12">
        <v>0</v>
      </c>
      <c r="J23" s="12"/>
      <c r="K23" s="12">
        <v>0</v>
      </c>
      <c r="L23" s="12"/>
      <c r="M23" s="12">
        <v>0</v>
      </c>
      <c r="N23" s="12"/>
      <c r="O23" s="12">
        <v>0</v>
      </c>
      <c r="P23" s="12"/>
      <c r="Q23" s="51">
        <v>0</v>
      </c>
      <c r="R23" s="12"/>
      <c r="S23" s="12">
        <v>0</v>
      </c>
      <c r="T23" s="12"/>
      <c r="U23" s="12">
        <v>0</v>
      </c>
      <c r="V23" s="12"/>
      <c r="W23" s="12">
        <v>0</v>
      </c>
      <c r="X23" s="12"/>
      <c r="Y23" s="51">
        <v>0</v>
      </c>
      <c r="Z23" s="21"/>
      <c r="AA23" s="12">
        <f t="shared" si="3"/>
        <v>0</v>
      </c>
      <c r="AB23" s="12">
        <f t="shared" si="4"/>
        <v>0</v>
      </c>
      <c r="AC23" s="13">
        <v>0</v>
      </c>
    </row>
    <row r="24" spans="1:29" ht="15.75" customHeight="1" x14ac:dyDescent="0.5">
      <c r="A24" s="17" t="s">
        <v>6</v>
      </c>
      <c r="B24" s="10"/>
      <c r="C24" s="12">
        <v>0</v>
      </c>
      <c r="D24" s="12"/>
      <c r="E24" s="12">
        <v>0</v>
      </c>
      <c r="F24" s="12"/>
      <c r="G24" s="12">
        <v>0</v>
      </c>
      <c r="H24" s="12"/>
      <c r="I24" s="12">
        <v>0</v>
      </c>
      <c r="J24" s="12"/>
      <c r="K24" s="12">
        <v>0</v>
      </c>
      <c r="L24" s="12"/>
      <c r="M24" s="12">
        <v>0</v>
      </c>
      <c r="N24" s="12"/>
      <c r="O24" s="12">
        <v>0</v>
      </c>
      <c r="P24" s="12"/>
      <c r="Q24" s="51">
        <v>0</v>
      </c>
      <c r="R24" s="12"/>
      <c r="S24" s="12">
        <v>0</v>
      </c>
      <c r="T24" s="12"/>
      <c r="U24" s="12">
        <v>0</v>
      </c>
      <c r="V24" s="12"/>
      <c r="W24" s="12">
        <v>0</v>
      </c>
      <c r="X24" s="12"/>
      <c r="Y24" s="51">
        <v>0</v>
      </c>
      <c r="Z24" s="21"/>
      <c r="AA24" s="12">
        <f t="shared" si="3"/>
        <v>0</v>
      </c>
      <c r="AB24" s="12">
        <f t="shared" si="4"/>
        <v>0</v>
      </c>
      <c r="AC24" s="13">
        <v>0</v>
      </c>
    </row>
    <row r="25" spans="1:29" ht="15.75" customHeight="1" x14ac:dyDescent="0.5">
      <c r="A25" s="17" t="s">
        <v>7</v>
      </c>
      <c r="B25" s="10"/>
      <c r="C25" s="12">
        <v>0</v>
      </c>
      <c r="D25" s="12"/>
      <c r="E25" s="12">
        <v>0</v>
      </c>
      <c r="F25" s="12"/>
      <c r="G25" s="12">
        <v>0</v>
      </c>
      <c r="H25" s="12"/>
      <c r="I25" s="12">
        <v>0</v>
      </c>
      <c r="J25" s="12"/>
      <c r="K25" s="12">
        <v>0</v>
      </c>
      <c r="L25" s="12"/>
      <c r="M25" s="12">
        <v>0</v>
      </c>
      <c r="N25" s="12"/>
      <c r="O25" s="12">
        <v>0</v>
      </c>
      <c r="P25" s="12"/>
      <c r="Q25" s="51">
        <v>0</v>
      </c>
      <c r="R25" s="12"/>
      <c r="S25" s="12">
        <v>0</v>
      </c>
      <c r="T25" s="12"/>
      <c r="U25" s="12">
        <v>0</v>
      </c>
      <c r="V25" s="12"/>
      <c r="W25" s="12">
        <v>0</v>
      </c>
      <c r="X25" s="12"/>
      <c r="Y25" s="51">
        <v>0</v>
      </c>
      <c r="Z25" s="21"/>
      <c r="AA25" s="12">
        <f t="shared" si="3"/>
        <v>0</v>
      </c>
      <c r="AB25" s="12">
        <f t="shared" si="4"/>
        <v>0</v>
      </c>
      <c r="AC25" s="13">
        <v>0</v>
      </c>
    </row>
    <row r="26" spans="1:29" ht="15.75" customHeight="1" x14ac:dyDescent="0.5">
      <c r="A26" s="17"/>
      <c r="B26" s="10"/>
      <c r="C26" s="12"/>
      <c r="D26" s="12"/>
      <c r="E26" s="12"/>
      <c r="F26" s="12"/>
      <c r="G26" s="12"/>
      <c r="H26" s="12"/>
      <c r="I26" s="12"/>
      <c r="J26" s="12"/>
      <c r="K26" s="12"/>
      <c r="L26" s="12"/>
      <c r="M26" s="12"/>
      <c r="N26" s="12"/>
      <c r="O26" s="12"/>
      <c r="P26" s="12"/>
      <c r="Q26" s="12"/>
      <c r="R26" s="12"/>
      <c r="S26" s="12"/>
      <c r="T26" s="12"/>
      <c r="U26" s="12"/>
      <c r="V26" s="12"/>
      <c r="W26" s="12"/>
      <c r="X26" s="12"/>
      <c r="Y26" s="12"/>
      <c r="Z26" s="21"/>
      <c r="AA26" s="12"/>
      <c r="AB26" s="12"/>
      <c r="AC26" s="13"/>
    </row>
    <row r="27" spans="1:29" x14ac:dyDescent="0.35">
      <c r="B27" s="11"/>
      <c r="C27" s="12"/>
      <c r="D27" s="12"/>
      <c r="E27" s="12"/>
      <c r="F27" s="12"/>
      <c r="G27" s="12"/>
      <c r="H27" s="12"/>
      <c r="I27" s="12"/>
      <c r="J27" s="12"/>
      <c r="K27" s="12"/>
      <c r="L27" s="12"/>
      <c r="M27" s="12"/>
      <c r="N27" s="12"/>
      <c r="O27" s="12"/>
      <c r="P27" s="12"/>
      <c r="Q27" s="12"/>
      <c r="R27" s="12"/>
      <c r="S27" s="12"/>
      <c r="T27" s="12"/>
      <c r="U27" s="12"/>
      <c r="V27" s="12"/>
      <c r="W27" s="12"/>
      <c r="X27" s="12"/>
      <c r="Y27" s="12"/>
      <c r="Z27" s="13"/>
      <c r="AA27" s="14"/>
      <c r="AB27" s="14"/>
      <c r="AC27" s="13"/>
    </row>
    <row r="28" spans="1:29" x14ac:dyDescent="0.35">
      <c r="A28" s="11" t="s">
        <v>37</v>
      </c>
      <c r="B28" s="11"/>
      <c r="C28" s="12"/>
      <c r="D28" s="12"/>
      <c r="E28" s="12"/>
      <c r="F28" s="12"/>
      <c r="G28" s="12"/>
      <c r="H28" s="12"/>
      <c r="I28" s="12"/>
      <c r="J28" s="12"/>
      <c r="K28" s="12"/>
      <c r="L28" s="12"/>
      <c r="M28" s="12"/>
      <c r="N28" s="12"/>
      <c r="O28" s="12"/>
      <c r="P28" s="12"/>
      <c r="Q28" s="12"/>
      <c r="R28" s="12"/>
      <c r="S28" s="12"/>
      <c r="T28" s="12"/>
      <c r="U28" s="12"/>
      <c r="V28" s="12"/>
      <c r="W28" s="12"/>
      <c r="X28" s="12"/>
      <c r="Y28" s="12"/>
      <c r="Z28" s="13"/>
      <c r="AA28" s="14"/>
      <c r="AB28" s="14"/>
      <c r="AC28" s="13"/>
    </row>
    <row r="29" spans="1:29" x14ac:dyDescent="0.35">
      <c r="A29" s="45" t="s">
        <v>1</v>
      </c>
      <c r="B29" s="11"/>
      <c r="C29" s="12"/>
      <c r="D29" s="12"/>
      <c r="E29" s="12"/>
      <c r="F29" s="12"/>
      <c r="G29" s="12"/>
      <c r="H29" s="12"/>
      <c r="I29" s="12"/>
      <c r="J29" s="12"/>
      <c r="K29" s="12"/>
      <c r="L29" s="12"/>
      <c r="M29" s="12"/>
      <c r="N29" s="12"/>
      <c r="O29" s="12"/>
      <c r="P29" s="12"/>
      <c r="Q29" s="12"/>
      <c r="R29" s="12"/>
      <c r="S29" s="12"/>
      <c r="T29" s="12"/>
      <c r="U29" s="12"/>
      <c r="V29" s="12"/>
      <c r="W29" s="12"/>
      <c r="X29" s="12"/>
      <c r="Y29" s="12"/>
      <c r="Z29" s="13"/>
      <c r="AA29" s="14"/>
      <c r="AB29" s="14"/>
      <c r="AC29" s="13"/>
    </row>
    <row r="30" spans="1:29" x14ac:dyDescent="0.35">
      <c r="A30" s="15" t="s">
        <v>2</v>
      </c>
      <c r="B30" s="15"/>
      <c r="C30" s="12">
        <v>14343453.039999999</v>
      </c>
      <c r="D30" s="12"/>
      <c r="E30" s="12">
        <v>21762951.73</v>
      </c>
      <c r="F30" s="12"/>
      <c r="G30" s="12">
        <v>30807702.339999996</v>
      </c>
      <c r="H30" s="12"/>
      <c r="I30" s="12">
        <v>34268260.090000004</v>
      </c>
      <c r="J30" s="12"/>
      <c r="K30" s="12">
        <v>39471760.609999999</v>
      </c>
      <c r="L30" s="12"/>
      <c r="M30" s="12">
        <v>35775701.43</v>
      </c>
      <c r="N30" s="12"/>
      <c r="O30" s="12">
        <v>32520066.640000001</v>
      </c>
      <c r="P30" s="12"/>
      <c r="Q30" s="12">
        <v>24887812.240000002</v>
      </c>
      <c r="R30" s="12"/>
      <c r="S30" s="12">
        <v>9957824.2699999996</v>
      </c>
      <c r="T30" s="12"/>
      <c r="U30" s="12">
        <v>2421323.33</v>
      </c>
      <c r="V30" s="12"/>
      <c r="W30" s="12">
        <v>4870766.83</v>
      </c>
      <c r="X30" s="12"/>
      <c r="Y30" s="12">
        <v>6287758.9800000004</v>
      </c>
      <c r="Z30" s="16"/>
      <c r="AA30" s="12">
        <f t="shared" ref="AA30:AA35" si="5">SUM(C30:Z30)</f>
        <v>257375381.53000003</v>
      </c>
      <c r="AB30" s="12">
        <f t="shared" ref="AB30:AB35" si="6">AA30+AC30</f>
        <v>315686163.53000003</v>
      </c>
      <c r="AC30" s="13">
        <v>58310782</v>
      </c>
    </row>
    <row r="31" spans="1:29" x14ac:dyDescent="0.35">
      <c r="A31" s="15" t="s">
        <v>3</v>
      </c>
      <c r="B31" s="15"/>
      <c r="C31" s="12">
        <v>1158217.76</v>
      </c>
      <c r="D31" s="12"/>
      <c r="E31" s="12">
        <v>1657319.58</v>
      </c>
      <c r="F31" s="12"/>
      <c r="G31" s="12">
        <v>2893300.03</v>
      </c>
      <c r="H31" s="12"/>
      <c r="I31" s="12">
        <v>2320994.19</v>
      </c>
      <c r="J31" s="12"/>
      <c r="K31" s="12">
        <v>2212190.73</v>
      </c>
      <c r="L31" s="12"/>
      <c r="M31" s="12">
        <v>2370742.4299999997</v>
      </c>
      <c r="N31" s="12"/>
      <c r="O31" s="12">
        <v>2929356.2800000003</v>
      </c>
      <c r="P31" s="12"/>
      <c r="Q31" s="12">
        <v>1206904.3699999999</v>
      </c>
      <c r="R31" s="12"/>
      <c r="S31" s="12">
        <v>830626.95</v>
      </c>
      <c r="T31" s="12"/>
      <c r="U31" s="12">
        <v>197387.77</v>
      </c>
      <c r="V31" s="12"/>
      <c r="W31" s="12">
        <v>322076.79999999999</v>
      </c>
      <c r="X31" s="12"/>
      <c r="Y31" s="12">
        <v>582422.1399999999</v>
      </c>
      <c r="Z31" s="16"/>
      <c r="AA31" s="12">
        <f t="shared" si="5"/>
        <v>18681539.030000001</v>
      </c>
      <c r="AB31" s="12">
        <f t="shared" si="6"/>
        <v>24414143.280000001</v>
      </c>
      <c r="AC31" s="13">
        <v>5732604.25</v>
      </c>
    </row>
    <row r="32" spans="1:29" x14ac:dyDescent="0.35">
      <c r="A32" s="15" t="s">
        <v>4</v>
      </c>
      <c r="B32" s="15"/>
      <c r="C32" s="12">
        <v>1024583.3</v>
      </c>
      <c r="D32" s="12"/>
      <c r="E32" s="12">
        <v>1444804.88</v>
      </c>
      <c r="F32" s="12"/>
      <c r="G32" s="12">
        <v>799980.77</v>
      </c>
      <c r="H32" s="12"/>
      <c r="I32" s="12">
        <v>536018.88</v>
      </c>
      <c r="J32" s="12"/>
      <c r="K32" s="12">
        <v>598273.77</v>
      </c>
      <c r="L32" s="12"/>
      <c r="M32" s="12">
        <v>371294.94</v>
      </c>
      <c r="N32" s="12"/>
      <c r="O32" s="12">
        <v>440581.5</v>
      </c>
      <c r="P32" s="12"/>
      <c r="Q32" s="12">
        <v>397046.35</v>
      </c>
      <c r="R32" s="12"/>
      <c r="S32" s="12">
        <v>164496.65</v>
      </c>
      <c r="T32" s="12"/>
      <c r="U32" s="12">
        <v>28725.58</v>
      </c>
      <c r="V32" s="12"/>
      <c r="W32" s="12">
        <v>49178.58</v>
      </c>
      <c r="X32" s="12"/>
      <c r="Y32" s="12">
        <v>73914.92</v>
      </c>
      <c r="Z32" s="16"/>
      <c r="AA32" s="12">
        <f t="shared" si="5"/>
        <v>5928900.1200000001</v>
      </c>
      <c r="AB32" s="12">
        <f t="shared" si="6"/>
        <v>6124417.6299999999</v>
      </c>
      <c r="AC32" s="13">
        <v>195517.51</v>
      </c>
    </row>
    <row r="33" spans="1:29" x14ac:dyDescent="0.35">
      <c r="A33" s="15" t="s">
        <v>5</v>
      </c>
      <c r="B33" s="17"/>
      <c r="C33" s="12">
        <v>133634.46</v>
      </c>
      <c r="D33" s="12"/>
      <c r="E33" s="12">
        <v>212514.7</v>
      </c>
      <c r="F33" s="12"/>
      <c r="G33" s="12">
        <v>2093319.26</v>
      </c>
      <c r="H33" s="12"/>
      <c r="I33" s="12">
        <v>1784975.31</v>
      </c>
      <c r="J33" s="12"/>
      <c r="K33" s="12">
        <v>1613916.96</v>
      </c>
      <c r="L33" s="12"/>
      <c r="M33" s="12">
        <v>1999447.49</v>
      </c>
      <c r="N33" s="12"/>
      <c r="O33" s="12">
        <v>2488774.7799999998</v>
      </c>
      <c r="P33" s="12"/>
      <c r="Q33" s="12">
        <v>809858.02</v>
      </c>
      <c r="R33" s="12"/>
      <c r="S33" s="12">
        <v>666130.29999999993</v>
      </c>
      <c r="T33" s="12"/>
      <c r="U33" s="12">
        <v>168662.19</v>
      </c>
      <c r="V33" s="12"/>
      <c r="W33" s="12">
        <v>272898.21999999997</v>
      </c>
      <c r="X33" s="12"/>
      <c r="Y33" s="12">
        <v>508507.22000000003</v>
      </c>
      <c r="Z33" s="13"/>
      <c r="AA33" s="12">
        <f t="shared" si="5"/>
        <v>12752638.910000002</v>
      </c>
      <c r="AB33" s="12">
        <f t="shared" si="6"/>
        <v>18289725.650000002</v>
      </c>
      <c r="AC33" s="13">
        <v>5537086.7400000002</v>
      </c>
    </row>
    <row r="34" spans="1:29" x14ac:dyDescent="0.35">
      <c r="A34" s="15" t="s">
        <v>6</v>
      </c>
      <c r="B34" s="17"/>
      <c r="C34" s="12">
        <v>45435.72</v>
      </c>
      <c r="D34" s="12"/>
      <c r="E34" s="12">
        <v>72255</v>
      </c>
      <c r="F34" s="12"/>
      <c r="G34" s="12">
        <v>711728.55</v>
      </c>
      <c r="H34" s="12"/>
      <c r="I34" s="12">
        <v>606891.6</v>
      </c>
      <c r="J34" s="12"/>
      <c r="K34" s="12">
        <v>548731.77</v>
      </c>
      <c r="L34" s="12"/>
      <c r="M34" s="12">
        <v>679812.14999999991</v>
      </c>
      <c r="N34" s="12"/>
      <c r="O34" s="12">
        <v>846183.42999999993</v>
      </c>
      <c r="P34" s="12"/>
      <c r="Q34" s="12">
        <v>275351.73</v>
      </c>
      <c r="R34" s="12"/>
      <c r="S34" s="12">
        <v>226484.3</v>
      </c>
      <c r="T34" s="12"/>
      <c r="U34" s="12">
        <v>57345.15</v>
      </c>
      <c r="V34" s="12"/>
      <c r="W34" s="12">
        <v>92785.4</v>
      </c>
      <c r="X34" s="12"/>
      <c r="Y34" s="12">
        <v>172892.45</v>
      </c>
      <c r="Z34" s="16"/>
      <c r="AA34" s="12">
        <f t="shared" si="5"/>
        <v>4335897.2499999991</v>
      </c>
      <c r="AB34" s="12">
        <f t="shared" si="6"/>
        <v>6218506.7599999988</v>
      </c>
      <c r="AC34" s="13">
        <v>1882609.5099999998</v>
      </c>
    </row>
    <row r="35" spans="1:29" x14ac:dyDescent="0.35">
      <c r="A35" s="17" t="s">
        <v>7</v>
      </c>
      <c r="B35" s="15"/>
      <c r="C35" s="12">
        <v>2672.6800000000003</v>
      </c>
      <c r="D35" s="12"/>
      <c r="E35" s="12">
        <v>4250.3</v>
      </c>
      <c r="F35" s="12"/>
      <c r="G35" s="12">
        <v>41866.39</v>
      </c>
      <c r="H35" s="12"/>
      <c r="I35" s="12">
        <v>35699.5</v>
      </c>
      <c r="J35" s="12"/>
      <c r="K35" s="12">
        <v>32278.339999999997</v>
      </c>
      <c r="L35" s="12"/>
      <c r="M35" s="12">
        <v>39988.949999999997</v>
      </c>
      <c r="N35" s="12"/>
      <c r="O35" s="12">
        <v>49775.49</v>
      </c>
      <c r="P35" s="12"/>
      <c r="Q35" s="12">
        <v>16197.16</v>
      </c>
      <c r="R35" s="12"/>
      <c r="S35" s="12">
        <v>13322.609999999999</v>
      </c>
      <c r="T35" s="12"/>
      <c r="U35" s="12">
        <v>3373.25</v>
      </c>
      <c r="V35" s="12"/>
      <c r="W35" s="12">
        <v>5457.97</v>
      </c>
      <c r="X35" s="12"/>
      <c r="Y35" s="12">
        <v>10170.14</v>
      </c>
      <c r="Z35" s="18"/>
      <c r="AA35" s="12">
        <f t="shared" si="5"/>
        <v>255052.77999999997</v>
      </c>
      <c r="AB35" s="12">
        <f t="shared" si="6"/>
        <v>365794.51999999996</v>
      </c>
      <c r="AC35" s="13">
        <v>110741.73999999999</v>
      </c>
    </row>
    <row r="36" spans="1:29" x14ac:dyDescent="0.35">
      <c r="A36" s="46" t="s">
        <v>8</v>
      </c>
      <c r="B36" s="11"/>
      <c r="C36" s="19"/>
      <c r="D36" s="19"/>
      <c r="E36" s="19"/>
      <c r="F36" s="19"/>
      <c r="G36" s="19"/>
      <c r="H36" s="19"/>
      <c r="I36" s="19"/>
      <c r="J36" s="19"/>
      <c r="K36" s="19"/>
      <c r="L36" s="19"/>
      <c r="M36" s="19"/>
      <c r="N36" s="19"/>
      <c r="O36" s="19"/>
      <c r="P36" s="19"/>
      <c r="Q36" s="12"/>
      <c r="R36" s="19"/>
      <c r="S36" s="12"/>
      <c r="T36" s="12"/>
      <c r="U36" s="12"/>
      <c r="V36" s="12"/>
      <c r="W36" s="12"/>
      <c r="X36" s="12"/>
      <c r="Y36" s="12"/>
      <c r="Z36" s="16"/>
      <c r="AA36" s="19"/>
      <c r="AB36" s="19"/>
      <c r="AC36" s="13"/>
    </row>
    <row r="37" spans="1:29" x14ac:dyDescent="0.35">
      <c r="A37" s="15" t="s">
        <v>2</v>
      </c>
      <c r="B37" s="11"/>
      <c r="C37" s="12">
        <v>4416291.79</v>
      </c>
      <c r="D37" s="19"/>
      <c r="E37" s="12">
        <v>4885321.79</v>
      </c>
      <c r="F37" s="19"/>
      <c r="G37" s="12">
        <v>7320146.3499999996</v>
      </c>
      <c r="H37" s="19"/>
      <c r="I37" s="12">
        <v>7715162.8200000003</v>
      </c>
      <c r="J37" s="19"/>
      <c r="K37" s="12">
        <v>8883240.6699999999</v>
      </c>
      <c r="L37" s="19"/>
      <c r="M37" s="12">
        <v>7480793.5899999999</v>
      </c>
      <c r="N37" s="19"/>
      <c r="O37" s="12">
        <v>6717910.46</v>
      </c>
      <c r="P37" s="19"/>
      <c r="Q37" s="12">
        <v>6001869.1200000001</v>
      </c>
      <c r="R37" s="19"/>
      <c r="S37" s="12">
        <v>1779595.15</v>
      </c>
      <c r="T37" s="12"/>
      <c r="U37" s="12">
        <v>0</v>
      </c>
      <c r="V37" s="12"/>
      <c r="W37" s="12">
        <v>0</v>
      </c>
      <c r="X37" s="12"/>
      <c r="Y37" s="12">
        <v>345962.03</v>
      </c>
      <c r="Z37" s="16"/>
      <c r="AA37" s="12">
        <f>SUM(C37:Z37)</f>
        <v>55546293.770000003</v>
      </c>
      <c r="AB37" s="12">
        <f t="shared" ref="AB37:AB40" si="7">AA37+AC37</f>
        <v>113008555.77000001</v>
      </c>
      <c r="AC37" s="13">
        <v>57462262</v>
      </c>
    </row>
    <row r="38" spans="1:29" x14ac:dyDescent="0.35">
      <c r="A38" s="15" t="s">
        <v>5</v>
      </c>
      <c r="B38" s="11"/>
      <c r="C38" s="12">
        <v>384575.73</v>
      </c>
      <c r="D38" s="19"/>
      <c r="E38" s="12">
        <v>631011.81000000006</v>
      </c>
      <c r="F38" s="19"/>
      <c r="G38" s="12">
        <v>957790.89</v>
      </c>
      <c r="H38" s="19"/>
      <c r="I38" s="12">
        <v>699610.69</v>
      </c>
      <c r="J38" s="19"/>
      <c r="K38" s="12">
        <v>486448.62</v>
      </c>
      <c r="L38" s="19"/>
      <c r="M38" s="12">
        <v>518742.79</v>
      </c>
      <c r="N38" s="19"/>
      <c r="O38" s="12">
        <v>791877.14</v>
      </c>
      <c r="P38" s="19"/>
      <c r="Q38" s="12">
        <v>129343.73</v>
      </c>
      <c r="R38" s="19"/>
      <c r="S38" s="12">
        <v>130269.85</v>
      </c>
      <c r="T38" s="12"/>
      <c r="U38" s="51">
        <v>-21351.19</v>
      </c>
      <c r="V38" s="51"/>
      <c r="W38" s="51">
        <v>-2443.5300000000002</v>
      </c>
      <c r="X38" s="51"/>
      <c r="Y38" s="51">
        <v>-11266.81</v>
      </c>
      <c r="Z38" s="16"/>
      <c r="AA38" s="12">
        <f>SUM(C38:Z38)</f>
        <v>4694609.72</v>
      </c>
      <c r="AB38" s="12">
        <f t="shared" si="7"/>
        <v>10346091.77</v>
      </c>
      <c r="AC38" s="13">
        <v>5651482.0499999998</v>
      </c>
    </row>
    <row r="39" spans="1:29" x14ac:dyDescent="0.35">
      <c r="A39" s="15" t="s">
        <v>6</v>
      </c>
      <c r="B39" s="11"/>
      <c r="C39" s="12">
        <v>130755.75</v>
      </c>
      <c r="D39" s="19"/>
      <c r="E39" s="12">
        <v>214544.02</v>
      </c>
      <c r="F39" s="19"/>
      <c r="G39" s="12">
        <v>325648.90000000002</v>
      </c>
      <c r="H39" s="19"/>
      <c r="I39" s="12">
        <v>237867.63</v>
      </c>
      <c r="J39" s="19"/>
      <c r="K39" s="12">
        <v>165392.53</v>
      </c>
      <c r="L39" s="19"/>
      <c r="M39" s="12">
        <v>176372.55</v>
      </c>
      <c r="N39" s="19"/>
      <c r="O39" s="12">
        <v>269238.23</v>
      </c>
      <c r="P39" s="19"/>
      <c r="Q39" s="12">
        <v>43976.87</v>
      </c>
      <c r="R39" s="19"/>
      <c r="S39" s="12">
        <v>44291.75</v>
      </c>
      <c r="T39" s="12"/>
      <c r="U39" s="51">
        <v>-7259.4</v>
      </c>
      <c r="V39" s="51"/>
      <c r="W39" s="51">
        <v>-830.8</v>
      </c>
      <c r="X39" s="51"/>
      <c r="Y39" s="51">
        <v>-3830.72</v>
      </c>
      <c r="Z39" s="16"/>
      <c r="AA39" s="12">
        <f>SUM(C39:Z39)</f>
        <v>1596167.3100000003</v>
      </c>
      <c r="AB39" s="12">
        <f t="shared" si="7"/>
        <v>3517671.23</v>
      </c>
      <c r="AC39" s="13">
        <v>1921503.9199999997</v>
      </c>
    </row>
    <row r="40" spans="1:29" x14ac:dyDescent="0.35">
      <c r="A40" s="17" t="s">
        <v>7</v>
      </c>
      <c r="B40" s="11"/>
      <c r="C40" s="12">
        <v>7691.51</v>
      </c>
      <c r="D40" s="19"/>
      <c r="E40" s="12">
        <v>12620.24</v>
      </c>
      <c r="F40" s="19"/>
      <c r="G40" s="12">
        <v>19155.82</v>
      </c>
      <c r="H40" s="19"/>
      <c r="I40" s="12">
        <v>13992.21</v>
      </c>
      <c r="J40" s="19"/>
      <c r="K40" s="12">
        <v>9728.9699999999993</v>
      </c>
      <c r="L40" s="19"/>
      <c r="M40" s="12">
        <v>10374.86</v>
      </c>
      <c r="N40" s="19"/>
      <c r="O40" s="12">
        <v>15837.54</v>
      </c>
      <c r="P40" s="19"/>
      <c r="Q40" s="12">
        <v>2586.87</v>
      </c>
      <c r="R40" s="19"/>
      <c r="S40" s="12">
        <v>2605.4</v>
      </c>
      <c r="T40" s="12"/>
      <c r="U40" s="51">
        <v>-427.02</v>
      </c>
      <c r="V40" s="51"/>
      <c r="W40" s="51">
        <v>-48.87</v>
      </c>
      <c r="X40" s="51"/>
      <c r="Y40" s="51">
        <v>-225.34</v>
      </c>
      <c r="Z40" s="16"/>
      <c r="AA40" s="12">
        <f>SUM(C40:Z40)</f>
        <v>93892.189999999988</v>
      </c>
      <c r="AB40" s="12">
        <f t="shared" si="7"/>
        <v>206921.83999999997</v>
      </c>
      <c r="AC40" s="13">
        <v>113029.65</v>
      </c>
    </row>
    <row r="41" spans="1:29" x14ac:dyDescent="0.35">
      <c r="A41" s="46" t="s">
        <v>9</v>
      </c>
      <c r="B41" s="11"/>
      <c r="C41" s="12"/>
      <c r="D41" s="19"/>
      <c r="E41" s="19"/>
      <c r="F41" s="19"/>
      <c r="G41" s="12"/>
      <c r="H41" s="19"/>
      <c r="I41" s="19"/>
      <c r="J41" s="19"/>
      <c r="K41" s="12"/>
      <c r="L41" s="19"/>
      <c r="M41" s="12"/>
      <c r="N41" s="19"/>
      <c r="O41" s="12"/>
      <c r="P41" s="19"/>
      <c r="Q41" s="12"/>
      <c r="R41" s="19"/>
      <c r="S41" s="12"/>
      <c r="T41" s="12"/>
      <c r="U41" s="12"/>
      <c r="V41" s="12"/>
      <c r="W41" s="12"/>
      <c r="X41" s="12"/>
      <c r="Y41" s="12"/>
      <c r="Z41" s="16"/>
      <c r="AA41" s="19"/>
      <c r="AB41" s="19"/>
      <c r="AC41" s="13"/>
    </row>
    <row r="42" spans="1:29" x14ac:dyDescent="0.35">
      <c r="A42" s="17" t="s">
        <v>2</v>
      </c>
      <c r="B42" s="11"/>
      <c r="C42" s="12">
        <v>9927161.25</v>
      </c>
      <c r="D42" s="19"/>
      <c r="E42" s="12">
        <v>16877629.940000001</v>
      </c>
      <c r="F42" s="19"/>
      <c r="G42" s="12">
        <v>23487555.989999998</v>
      </c>
      <c r="H42" s="19"/>
      <c r="I42" s="12">
        <v>26553097.27</v>
      </c>
      <c r="J42" s="19"/>
      <c r="K42" s="12">
        <v>30588519.940000001</v>
      </c>
      <c r="L42" s="19"/>
      <c r="M42" s="12">
        <v>28294907.84</v>
      </c>
      <c r="N42" s="19"/>
      <c r="O42" s="12">
        <v>25802156.18</v>
      </c>
      <c r="P42" s="19"/>
      <c r="Q42" s="12">
        <v>18885943.120000001</v>
      </c>
      <c r="R42" s="19"/>
      <c r="S42" s="12">
        <v>8178229.1200000001</v>
      </c>
      <c r="T42" s="12"/>
      <c r="U42" s="12">
        <v>2421323.33</v>
      </c>
      <c r="V42" s="12"/>
      <c r="W42" s="12">
        <v>4870766.83</v>
      </c>
      <c r="X42" s="12"/>
      <c r="Y42" s="12">
        <v>5941796.9500000002</v>
      </c>
      <c r="Z42" s="16"/>
      <c r="AA42" s="12">
        <f t="shared" ref="AA42:AA47" si="8">SUM(C42:Z42)</f>
        <v>201829087.76000002</v>
      </c>
      <c r="AB42" s="12">
        <f t="shared" ref="AB42:AB47" si="9">AA42+AC42</f>
        <v>202677607.76000002</v>
      </c>
      <c r="AC42" s="13">
        <v>848520</v>
      </c>
    </row>
    <row r="43" spans="1:29" x14ac:dyDescent="0.35">
      <c r="A43" s="17" t="s">
        <v>3</v>
      </c>
      <c r="B43" s="11"/>
      <c r="C43" s="12">
        <v>773642.03</v>
      </c>
      <c r="D43" s="19"/>
      <c r="E43" s="12">
        <v>1026307.78</v>
      </c>
      <c r="F43" s="19"/>
      <c r="G43" s="12">
        <v>1935509.14</v>
      </c>
      <c r="H43" s="19"/>
      <c r="I43" s="12">
        <v>1621383.5</v>
      </c>
      <c r="J43" s="19"/>
      <c r="K43" s="12">
        <v>1725742.11</v>
      </c>
      <c r="L43" s="19"/>
      <c r="M43" s="12">
        <v>1851999.64</v>
      </c>
      <c r="N43" s="19"/>
      <c r="O43" s="12">
        <v>2137479.14</v>
      </c>
      <c r="P43" s="19"/>
      <c r="Q43" s="12">
        <v>1077560.6399999999</v>
      </c>
      <c r="R43" s="19"/>
      <c r="S43" s="51">
        <v>700357.1</v>
      </c>
      <c r="T43" s="51"/>
      <c r="U43" s="51">
        <v>218738.96</v>
      </c>
      <c r="V43" s="51"/>
      <c r="W43" s="51">
        <v>324520.33</v>
      </c>
      <c r="X43" s="51"/>
      <c r="Y43" s="12">
        <v>593688.94999999995</v>
      </c>
      <c r="Z43" s="16"/>
      <c r="AA43" s="51">
        <f t="shared" si="8"/>
        <v>13986929.320000002</v>
      </c>
      <c r="AB43" s="12">
        <f t="shared" si="9"/>
        <v>14068051.520000001</v>
      </c>
      <c r="AC43" s="13">
        <v>81122.200000000012</v>
      </c>
    </row>
    <row r="44" spans="1:29" x14ac:dyDescent="0.35">
      <c r="A44" s="17" t="s">
        <v>4</v>
      </c>
      <c r="B44" s="11"/>
      <c r="C44" s="12">
        <v>1024583.3</v>
      </c>
      <c r="D44" s="19"/>
      <c r="E44" s="12">
        <v>1444804.88</v>
      </c>
      <c r="F44" s="19"/>
      <c r="G44" s="12">
        <v>799980.77</v>
      </c>
      <c r="H44" s="19"/>
      <c r="I44" s="12">
        <v>536018.88</v>
      </c>
      <c r="J44" s="19"/>
      <c r="K44" s="12">
        <v>598273.77</v>
      </c>
      <c r="L44" s="19"/>
      <c r="M44" s="12">
        <v>371294.94</v>
      </c>
      <c r="N44" s="19"/>
      <c r="O44" s="12">
        <v>440581.5</v>
      </c>
      <c r="P44" s="19"/>
      <c r="Q44" s="12">
        <v>397046.35</v>
      </c>
      <c r="R44" s="19"/>
      <c r="S44" s="12">
        <v>164496.65</v>
      </c>
      <c r="T44" s="12"/>
      <c r="U44" s="12">
        <v>28725.58</v>
      </c>
      <c r="V44" s="12"/>
      <c r="W44" s="12">
        <v>49178.58</v>
      </c>
      <c r="X44" s="12"/>
      <c r="Y44" s="12">
        <v>73914.92</v>
      </c>
      <c r="Z44" s="16"/>
      <c r="AA44" s="12">
        <f t="shared" si="8"/>
        <v>5928900.1200000001</v>
      </c>
      <c r="AB44" s="12">
        <f t="shared" si="9"/>
        <v>6124417.6299999999</v>
      </c>
      <c r="AC44" s="13">
        <v>195517.51</v>
      </c>
    </row>
    <row r="45" spans="1:29" x14ac:dyDescent="0.35">
      <c r="A45" s="17" t="s">
        <v>5</v>
      </c>
      <c r="B45" s="11"/>
      <c r="C45" s="51">
        <v>-250941.27</v>
      </c>
      <c r="D45" s="19"/>
      <c r="E45" s="51">
        <v>-418497.11</v>
      </c>
      <c r="F45" s="19"/>
      <c r="G45" s="12">
        <v>1135528.3700000001</v>
      </c>
      <c r="H45" s="19"/>
      <c r="I45" s="12">
        <v>1085364.6200000001</v>
      </c>
      <c r="J45" s="19"/>
      <c r="K45" s="12">
        <v>1127468.3400000001</v>
      </c>
      <c r="L45" s="19"/>
      <c r="M45" s="12">
        <v>1480704.7</v>
      </c>
      <c r="N45" s="19"/>
      <c r="O45" s="12">
        <v>1696897.64</v>
      </c>
      <c r="P45" s="19"/>
      <c r="Q45" s="12">
        <v>680514.29</v>
      </c>
      <c r="R45" s="19"/>
      <c r="S45" s="51">
        <v>535860.44999999995</v>
      </c>
      <c r="T45" s="51"/>
      <c r="U45" s="51">
        <v>190013.38</v>
      </c>
      <c r="V45" s="51"/>
      <c r="W45" s="51">
        <v>275341.75</v>
      </c>
      <c r="X45" s="51"/>
      <c r="Y45" s="12">
        <v>519774.03</v>
      </c>
      <c r="Z45" s="16"/>
      <c r="AA45" s="51">
        <f t="shared" si="8"/>
        <v>8058029.1900000004</v>
      </c>
      <c r="AB45" s="51">
        <f t="shared" si="9"/>
        <v>7943633.8800000008</v>
      </c>
      <c r="AC45" s="51">
        <v>-114395.30999999991</v>
      </c>
    </row>
    <row r="46" spans="1:29" x14ac:dyDescent="0.35">
      <c r="A46" s="17" t="s">
        <v>6</v>
      </c>
      <c r="B46" s="11"/>
      <c r="C46" s="51">
        <v>-85320.03</v>
      </c>
      <c r="D46" s="19"/>
      <c r="E46" s="51">
        <v>-142289.01999999999</v>
      </c>
      <c r="F46" s="19"/>
      <c r="G46" s="12">
        <v>386079.65</v>
      </c>
      <c r="H46" s="19"/>
      <c r="I46" s="12">
        <v>369023.97</v>
      </c>
      <c r="J46" s="19"/>
      <c r="K46" s="12">
        <v>383339.24</v>
      </c>
      <c r="L46" s="19"/>
      <c r="M46" s="12">
        <v>503439.6</v>
      </c>
      <c r="N46" s="19"/>
      <c r="O46" s="12">
        <v>576945.19999999995</v>
      </c>
      <c r="P46" s="19"/>
      <c r="Q46" s="12">
        <v>231374.86</v>
      </c>
      <c r="R46" s="19"/>
      <c r="S46" s="51">
        <v>182192.55</v>
      </c>
      <c r="T46" s="51"/>
      <c r="U46" s="51">
        <v>64604.55</v>
      </c>
      <c r="V46" s="51"/>
      <c r="W46" s="51">
        <v>93616.2</v>
      </c>
      <c r="X46" s="51"/>
      <c r="Y46" s="12">
        <v>176723.17</v>
      </c>
      <c r="Z46" s="16"/>
      <c r="AA46" s="51">
        <f t="shared" si="8"/>
        <v>2739729.94</v>
      </c>
      <c r="AB46" s="51">
        <f t="shared" si="9"/>
        <v>2700835.53</v>
      </c>
      <c r="AC46" s="51">
        <v>-38894.410000000003</v>
      </c>
    </row>
    <row r="47" spans="1:29" x14ac:dyDescent="0.35">
      <c r="A47" s="17" t="s">
        <v>7</v>
      </c>
      <c r="B47" s="11"/>
      <c r="C47" s="51">
        <v>-5018.83</v>
      </c>
      <c r="D47" s="19"/>
      <c r="E47" s="51">
        <v>-8369.94</v>
      </c>
      <c r="F47" s="19"/>
      <c r="G47" s="12">
        <v>22710.57</v>
      </c>
      <c r="H47" s="19"/>
      <c r="I47" s="12">
        <v>21707.29</v>
      </c>
      <c r="J47" s="19"/>
      <c r="K47" s="12">
        <v>22549.37</v>
      </c>
      <c r="L47" s="19"/>
      <c r="M47" s="12">
        <v>29614.09</v>
      </c>
      <c r="N47" s="19"/>
      <c r="O47" s="12">
        <v>33937.949999999997</v>
      </c>
      <c r="P47" s="19"/>
      <c r="Q47" s="12">
        <v>13610.29</v>
      </c>
      <c r="R47" s="19"/>
      <c r="S47" s="51">
        <v>10717.21</v>
      </c>
      <c r="T47" s="51"/>
      <c r="U47" s="51">
        <v>3800.27</v>
      </c>
      <c r="V47" s="51"/>
      <c r="W47" s="51">
        <v>5506.84</v>
      </c>
      <c r="X47" s="51"/>
      <c r="Y47" s="12">
        <v>10395.48</v>
      </c>
      <c r="Z47" s="16"/>
      <c r="AA47" s="51">
        <f t="shared" si="8"/>
        <v>161160.59</v>
      </c>
      <c r="AB47" s="51">
        <f t="shared" si="9"/>
        <v>158872.68</v>
      </c>
      <c r="AC47" s="51">
        <v>-2287.91</v>
      </c>
    </row>
    <row r="48" spans="1:29" x14ac:dyDescent="0.35">
      <c r="A48" s="17"/>
      <c r="B48" s="11"/>
      <c r="C48" s="19"/>
      <c r="D48" s="19"/>
      <c r="E48" s="19"/>
      <c r="F48" s="19"/>
      <c r="G48" s="19"/>
      <c r="H48" s="19"/>
      <c r="I48" s="19"/>
      <c r="J48" s="19"/>
      <c r="K48" s="19"/>
      <c r="L48" s="19"/>
      <c r="M48" s="19"/>
      <c r="N48" s="19"/>
      <c r="O48" s="19"/>
      <c r="P48" s="19"/>
      <c r="Q48" s="19"/>
      <c r="R48" s="19"/>
      <c r="S48" s="51"/>
      <c r="T48" s="51"/>
      <c r="U48" s="51"/>
      <c r="V48" s="51"/>
      <c r="W48" s="51"/>
      <c r="X48" s="51"/>
      <c r="Y48" s="51"/>
      <c r="Z48" s="16"/>
      <c r="AA48" s="51"/>
      <c r="AB48" s="12"/>
      <c r="AC48" s="13"/>
    </row>
    <row r="49" spans="1:29" x14ac:dyDescent="0.35">
      <c r="A49" s="17"/>
      <c r="B49" s="11"/>
      <c r="C49" s="19"/>
      <c r="D49" s="19"/>
      <c r="E49" s="19"/>
      <c r="F49" s="19"/>
      <c r="G49" s="19"/>
      <c r="H49" s="19"/>
      <c r="I49" s="19"/>
      <c r="J49" s="19"/>
      <c r="K49" s="19"/>
      <c r="L49" s="19"/>
      <c r="M49" s="19"/>
      <c r="N49" s="19"/>
      <c r="O49" s="19"/>
      <c r="P49" s="19"/>
      <c r="Q49" s="19"/>
      <c r="R49" s="19"/>
      <c r="S49" s="19"/>
      <c r="T49" s="19"/>
      <c r="U49" s="19"/>
      <c r="V49" s="19"/>
      <c r="W49" s="19"/>
      <c r="X49" s="19"/>
      <c r="Y49" s="19"/>
      <c r="Z49" s="16"/>
      <c r="AA49" s="19"/>
      <c r="AB49" s="19"/>
      <c r="AC49" s="13"/>
    </row>
    <row r="50" spans="1:29" x14ac:dyDescent="0.35">
      <c r="A50" s="11" t="s">
        <v>38</v>
      </c>
      <c r="B50" s="15"/>
      <c r="C50" s="12"/>
      <c r="D50" s="12"/>
      <c r="E50" s="12"/>
      <c r="F50" s="12"/>
      <c r="G50" s="12"/>
      <c r="H50" s="12"/>
      <c r="I50" s="12"/>
      <c r="J50" s="12"/>
      <c r="K50" s="12"/>
      <c r="L50" s="12"/>
      <c r="M50" s="12"/>
      <c r="N50" s="12"/>
      <c r="O50" s="12"/>
      <c r="P50" s="12"/>
      <c r="Q50" s="12"/>
      <c r="R50" s="12"/>
      <c r="S50" s="12"/>
      <c r="T50" s="12"/>
      <c r="U50" s="12"/>
      <c r="V50" s="12"/>
      <c r="W50" s="12"/>
      <c r="X50" s="12"/>
      <c r="Y50" s="12"/>
      <c r="Z50" s="21"/>
      <c r="AA50" s="12"/>
      <c r="AB50" s="12"/>
      <c r="AC50" s="13"/>
    </row>
    <row r="51" spans="1:29" x14ac:dyDescent="0.35">
      <c r="A51" s="45" t="s">
        <v>1</v>
      </c>
      <c r="B51" s="15"/>
      <c r="C51" s="12"/>
      <c r="D51" s="12"/>
      <c r="E51" s="12"/>
      <c r="F51" s="12"/>
      <c r="G51" s="12"/>
      <c r="H51" s="12"/>
      <c r="I51" s="12"/>
      <c r="J51" s="12"/>
      <c r="K51" s="12"/>
      <c r="L51" s="12"/>
      <c r="M51" s="12"/>
      <c r="N51" s="12"/>
      <c r="O51" s="12"/>
      <c r="P51" s="12"/>
      <c r="Q51" s="12"/>
      <c r="R51" s="12"/>
      <c r="S51" s="12"/>
      <c r="T51" s="12"/>
      <c r="U51" s="12"/>
      <c r="V51" s="12"/>
      <c r="W51" s="12"/>
      <c r="X51" s="12"/>
      <c r="Y51" s="12"/>
      <c r="Z51" s="21"/>
      <c r="AA51" s="12"/>
      <c r="AB51" s="12"/>
      <c r="AC51" s="13"/>
    </row>
    <row r="52" spans="1:29" x14ac:dyDescent="0.35">
      <c r="A52" s="15" t="s">
        <v>2</v>
      </c>
      <c r="B52" s="17"/>
      <c r="C52" s="12">
        <v>26450976.489999998</v>
      </c>
      <c r="D52" s="12"/>
      <c r="E52" s="12">
        <v>30390889.66</v>
      </c>
      <c r="F52" s="12"/>
      <c r="G52" s="12">
        <v>37718489.689999998</v>
      </c>
      <c r="H52" s="12"/>
      <c r="I52" s="12">
        <v>37224117.259999998</v>
      </c>
      <c r="J52" s="12"/>
      <c r="K52" s="12">
        <v>41286785.920000002</v>
      </c>
      <c r="L52" s="12"/>
      <c r="M52" s="12">
        <v>38287450.670000002</v>
      </c>
      <c r="N52" s="12"/>
      <c r="O52" s="12">
        <v>35766620.140000001</v>
      </c>
      <c r="P52" s="12"/>
      <c r="Q52" s="12">
        <v>31900120.550000001</v>
      </c>
      <c r="R52" s="12"/>
      <c r="S52" s="12">
        <v>14345008.219999999</v>
      </c>
      <c r="T52" s="12"/>
      <c r="U52" s="12">
        <v>5917313.1100000003</v>
      </c>
      <c r="V52" s="12"/>
      <c r="W52" s="12">
        <v>8511101</v>
      </c>
      <c r="X52" s="12"/>
      <c r="Y52" s="51">
        <v>9442173.5600000005</v>
      </c>
      <c r="Z52" s="13"/>
      <c r="AA52" s="12">
        <f t="shared" ref="AA52:AA57" si="10">SUM(C52:Z52)</f>
        <v>317241046.27000004</v>
      </c>
      <c r="AB52" s="12">
        <f t="shared" ref="AB52:AB57" si="11">AA52+AC52</f>
        <v>389067894.59000003</v>
      </c>
      <c r="AC52" s="13">
        <v>71826848.320000008</v>
      </c>
    </row>
    <row r="53" spans="1:29" x14ac:dyDescent="0.35">
      <c r="A53" s="15" t="s">
        <v>3</v>
      </c>
      <c r="B53" s="17"/>
      <c r="C53" s="12">
        <v>2057243.6</v>
      </c>
      <c r="D53" s="12"/>
      <c r="E53" s="12">
        <v>2540337.46</v>
      </c>
      <c r="F53" s="12"/>
      <c r="G53" s="12">
        <v>3627917.14</v>
      </c>
      <c r="H53" s="12"/>
      <c r="I53" s="12">
        <v>3281212.39</v>
      </c>
      <c r="J53" s="12"/>
      <c r="K53" s="12">
        <v>2150976.0100000002</v>
      </c>
      <c r="L53" s="12"/>
      <c r="M53" s="12">
        <v>2043758.7199999997</v>
      </c>
      <c r="N53" s="12"/>
      <c r="O53" s="12">
        <v>3768233.17</v>
      </c>
      <c r="P53" s="12"/>
      <c r="Q53" s="12">
        <v>1520297.12</v>
      </c>
      <c r="R53" s="12"/>
      <c r="S53" s="12">
        <v>915943.30999999994</v>
      </c>
      <c r="T53" s="12"/>
      <c r="U53" s="12">
        <v>353842.39</v>
      </c>
      <c r="V53" s="12"/>
      <c r="W53" s="12">
        <v>528072.35</v>
      </c>
      <c r="X53" s="12"/>
      <c r="Y53" s="51">
        <v>657939.67999999993</v>
      </c>
      <c r="Z53" s="13"/>
      <c r="AA53" s="12">
        <f t="shared" si="10"/>
        <v>23445773.340000004</v>
      </c>
      <c r="AB53" s="12">
        <f t="shared" si="11"/>
        <v>29222068.780000005</v>
      </c>
      <c r="AC53" s="13">
        <v>5776295.4400000004</v>
      </c>
    </row>
    <row r="54" spans="1:29" x14ac:dyDescent="0.35">
      <c r="A54" s="15" t="s">
        <v>4</v>
      </c>
      <c r="B54" s="17"/>
      <c r="C54" s="12">
        <v>986057.1</v>
      </c>
      <c r="D54" s="12"/>
      <c r="E54" s="12">
        <v>1308278.98</v>
      </c>
      <c r="F54" s="12"/>
      <c r="G54" s="12">
        <v>727824.68</v>
      </c>
      <c r="H54" s="12"/>
      <c r="I54" s="12">
        <v>560514.22</v>
      </c>
      <c r="J54" s="12"/>
      <c r="K54" s="12">
        <v>554349.14</v>
      </c>
      <c r="L54" s="12"/>
      <c r="M54" s="12">
        <v>364078.87</v>
      </c>
      <c r="N54" s="12"/>
      <c r="O54" s="12">
        <v>430116.25</v>
      </c>
      <c r="P54" s="12"/>
      <c r="Q54" s="12">
        <v>351939.5</v>
      </c>
      <c r="R54" s="12"/>
      <c r="S54" s="12">
        <v>167678.28</v>
      </c>
      <c r="T54" s="12"/>
      <c r="U54" s="12">
        <v>45535.63</v>
      </c>
      <c r="V54" s="12"/>
      <c r="W54" s="12">
        <v>70120.2</v>
      </c>
      <c r="X54" s="12"/>
      <c r="Y54" s="51">
        <v>63647.34</v>
      </c>
      <c r="Z54" s="13"/>
      <c r="AA54" s="12">
        <f t="shared" si="10"/>
        <v>5630140.1900000004</v>
      </c>
      <c r="AB54" s="12">
        <f t="shared" si="11"/>
        <v>6475970.8100000005</v>
      </c>
      <c r="AC54" s="13">
        <v>845830.62</v>
      </c>
    </row>
    <row r="55" spans="1:29" x14ac:dyDescent="0.35">
      <c r="A55" s="15" t="s">
        <v>5</v>
      </c>
      <c r="B55" s="17"/>
      <c r="C55" s="12">
        <v>1071186.5</v>
      </c>
      <c r="D55" s="12"/>
      <c r="E55" s="12">
        <v>1232058.48</v>
      </c>
      <c r="F55" s="12"/>
      <c r="G55" s="12">
        <v>2900092.46</v>
      </c>
      <c r="H55" s="12"/>
      <c r="I55" s="12">
        <v>2720698.16</v>
      </c>
      <c r="J55" s="12"/>
      <c r="K55" s="12">
        <v>1596626.8699999999</v>
      </c>
      <c r="L55" s="12"/>
      <c r="M55" s="12">
        <v>1679679.8599999999</v>
      </c>
      <c r="N55" s="12"/>
      <c r="O55" s="12">
        <v>3338116.92</v>
      </c>
      <c r="P55" s="12"/>
      <c r="Q55" s="12">
        <v>1168357.6200000001</v>
      </c>
      <c r="R55" s="12"/>
      <c r="S55" s="12">
        <v>748265.03</v>
      </c>
      <c r="T55" s="12"/>
      <c r="U55" s="12">
        <v>308306.76</v>
      </c>
      <c r="V55" s="12"/>
      <c r="W55" s="12">
        <v>457952.15</v>
      </c>
      <c r="X55" s="12"/>
      <c r="Y55" s="51">
        <v>594292.34</v>
      </c>
      <c r="Z55" s="13"/>
      <c r="AA55" s="12">
        <f t="shared" si="10"/>
        <v>17815633.149999995</v>
      </c>
      <c r="AB55" s="12">
        <f t="shared" si="11"/>
        <v>22746097.969999995</v>
      </c>
      <c r="AC55" s="13">
        <v>4930464.82</v>
      </c>
    </row>
    <row r="56" spans="1:29" x14ac:dyDescent="0.35">
      <c r="A56" s="15" t="s">
        <v>6</v>
      </c>
      <c r="B56" s="22"/>
      <c r="C56" s="12">
        <v>364203.41</v>
      </c>
      <c r="D56" s="19"/>
      <c r="E56" s="12">
        <v>418899.88</v>
      </c>
      <c r="F56" s="19"/>
      <c r="G56" s="12">
        <v>986031.44</v>
      </c>
      <c r="H56" s="19"/>
      <c r="I56" s="12">
        <v>925037.38</v>
      </c>
      <c r="J56" s="19"/>
      <c r="K56" s="12">
        <v>542853.13</v>
      </c>
      <c r="L56" s="19"/>
      <c r="M56" s="12">
        <v>571091.15</v>
      </c>
      <c r="N56" s="19"/>
      <c r="O56" s="12">
        <v>1134959.75</v>
      </c>
      <c r="P56" s="19"/>
      <c r="Q56" s="12">
        <v>397241.58999999997</v>
      </c>
      <c r="R56" s="19"/>
      <c r="S56" s="12">
        <v>254410.11</v>
      </c>
      <c r="T56" s="12"/>
      <c r="U56" s="12">
        <v>104824.3</v>
      </c>
      <c r="V56" s="12"/>
      <c r="W56" s="12">
        <v>155703.73000000001</v>
      </c>
      <c r="X56" s="12"/>
      <c r="Y56" s="51">
        <v>202059.39</v>
      </c>
      <c r="Z56" s="21"/>
      <c r="AA56" s="12">
        <f t="shared" si="10"/>
        <v>6057315.2599999998</v>
      </c>
      <c r="AB56" s="12">
        <f t="shared" si="11"/>
        <v>7733673.3199999994</v>
      </c>
      <c r="AC56" s="13">
        <v>1676358.0599999998</v>
      </c>
    </row>
    <row r="57" spans="1:29" x14ac:dyDescent="0.35">
      <c r="A57" s="17" t="s">
        <v>7</v>
      </c>
      <c r="B57" s="11"/>
      <c r="C57" s="12">
        <v>21423.73</v>
      </c>
      <c r="D57" s="12"/>
      <c r="E57" s="12">
        <v>24641.17</v>
      </c>
      <c r="F57" s="12"/>
      <c r="G57" s="12">
        <v>58001.85</v>
      </c>
      <c r="H57" s="12"/>
      <c r="I57" s="12">
        <v>54413.96</v>
      </c>
      <c r="J57" s="12"/>
      <c r="K57" s="12">
        <v>31932.53</v>
      </c>
      <c r="L57" s="12"/>
      <c r="M57" s="12">
        <v>33593.599999999999</v>
      </c>
      <c r="N57" s="12"/>
      <c r="O57" s="12">
        <v>66762.34</v>
      </c>
      <c r="P57" s="12"/>
      <c r="Q57" s="12">
        <v>23367.15</v>
      </c>
      <c r="R57" s="12"/>
      <c r="S57" s="12">
        <v>14965.3</v>
      </c>
      <c r="T57" s="12"/>
      <c r="U57" s="12">
        <v>6166.14</v>
      </c>
      <c r="V57" s="12"/>
      <c r="W57" s="12">
        <v>9159.0400000000009</v>
      </c>
      <c r="X57" s="12"/>
      <c r="Y57" s="51">
        <v>11885.85</v>
      </c>
      <c r="Z57" s="21"/>
      <c r="AA57" s="12">
        <f t="shared" si="10"/>
        <v>356312.66</v>
      </c>
      <c r="AB57" s="12">
        <f t="shared" si="11"/>
        <v>454921.97</v>
      </c>
      <c r="AC57" s="13">
        <v>98609.31</v>
      </c>
    </row>
    <row r="58" spans="1:29" x14ac:dyDescent="0.35">
      <c r="A58" s="45" t="s">
        <v>8</v>
      </c>
      <c r="B58" s="11"/>
      <c r="C58" s="12"/>
      <c r="D58" s="12"/>
      <c r="E58" s="12"/>
      <c r="F58" s="12"/>
      <c r="G58" s="12"/>
      <c r="H58" s="12"/>
      <c r="I58" s="12"/>
      <c r="J58" s="12"/>
      <c r="K58" s="12"/>
      <c r="L58" s="12"/>
      <c r="M58" s="12"/>
      <c r="N58" s="12"/>
      <c r="O58" s="12"/>
      <c r="P58" s="12"/>
      <c r="Q58" s="12"/>
      <c r="R58" s="12"/>
      <c r="S58" s="12"/>
      <c r="T58" s="12"/>
      <c r="U58" s="12"/>
      <c r="V58" s="12"/>
      <c r="W58" s="12"/>
      <c r="X58" s="12"/>
      <c r="Y58" s="51"/>
      <c r="Z58" s="21"/>
      <c r="AA58" s="12"/>
      <c r="AB58" s="12"/>
      <c r="AC58" s="13"/>
    </row>
    <row r="59" spans="1:29" x14ac:dyDescent="0.35">
      <c r="A59" s="15" t="s">
        <v>2</v>
      </c>
      <c r="B59" s="11"/>
      <c r="C59" s="12">
        <v>4288325.29</v>
      </c>
      <c r="D59" s="12"/>
      <c r="E59" s="12">
        <v>5367057.08</v>
      </c>
      <c r="F59" s="12"/>
      <c r="G59" s="12">
        <v>6529276.2000000002</v>
      </c>
      <c r="H59" s="12"/>
      <c r="I59" s="12">
        <v>7214583.1900000004</v>
      </c>
      <c r="J59" s="12"/>
      <c r="K59" s="12">
        <v>8865443.75</v>
      </c>
      <c r="L59" s="12"/>
      <c r="M59" s="12">
        <v>7680364.9199999999</v>
      </c>
      <c r="N59" s="12"/>
      <c r="O59" s="12">
        <v>7365637.5999999996</v>
      </c>
      <c r="P59" s="12"/>
      <c r="Q59" s="12">
        <v>7151650.2699999996</v>
      </c>
      <c r="R59" s="12"/>
      <c r="S59" s="12">
        <v>2343839.2999999998</v>
      </c>
      <c r="T59" s="12"/>
      <c r="U59" s="12">
        <v>0</v>
      </c>
      <c r="V59" s="12"/>
      <c r="W59" s="12">
        <v>0</v>
      </c>
      <c r="X59" s="12"/>
      <c r="Y59" s="51">
        <v>0</v>
      </c>
      <c r="Z59" s="21"/>
      <c r="AA59" s="12">
        <f t="shared" ref="AA59:AA62" si="12">SUM(C59:Z59)</f>
        <v>56806177.599999994</v>
      </c>
      <c r="AB59" s="12">
        <f t="shared" ref="AB59:AB62" si="13">AA59+AC59</f>
        <v>109889173.66</v>
      </c>
      <c r="AC59" s="13">
        <v>53082996.059999995</v>
      </c>
    </row>
    <row r="60" spans="1:29" x14ac:dyDescent="0.35">
      <c r="A60" s="15" t="s">
        <v>5</v>
      </c>
      <c r="B60" s="11"/>
      <c r="C60" s="12">
        <v>530420.92000000004</v>
      </c>
      <c r="D60" s="12"/>
      <c r="E60" s="12">
        <v>816768.01</v>
      </c>
      <c r="F60" s="12"/>
      <c r="G60" s="12">
        <v>1057864.6200000001</v>
      </c>
      <c r="H60" s="12"/>
      <c r="I60" s="12">
        <v>813838.93</v>
      </c>
      <c r="J60" s="12"/>
      <c r="K60" s="12">
        <v>234951.19</v>
      </c>
      <c r="L60" s="12"/>
      <c r="M60" s="12">
        <v>590176.56999999995</v>
      </c>
      <c r="N60" s="12"/>
      <c r="O60" s="12">
        <v>1148092.6200000001</v>
      </c>
      <c r="P60" s="12"/>
      <c r="Q60" s="12">
        <v>383792.62</v>
      </c>
      <c r="R60" s="12"/>
      <c r="S60" s="12">
        <v>146280.85999999999</v>
      </c>
      <c r="T60" s="12"/>
      <c r="U60" s="51">
        <v>-1244.6099999999999</v>
      </c>
      <c r="V60" s="12"/>
      <c r="W60" s="12">
        <v>0</v>
      </c>
      <c r="X60" s="12"/>
      <c r="Y60" s="51">
        <v>-569.54999999999995</v>
      </c>
      <c r="Z60" s="21"/>
      <c r="AA60" s="12">
        <f t="shared" si="12"/>
        <v>5720372.1800000006</v>
      </c>
      <c r="AB60" s="12">
        <f t="shared" si="13"/>
        <v>10146988.550000001</v>
      </c>
      <c r="AC60" s="13">
        <v>4426616.37</v>
      </c>
    </row>
    <row r="61" spans="1:29" x14ac:dyDescent="0.35">
      <c r="A61" s="15" t="s">
        <v>10</v>
      </c>
      <c r="B61" s="11"/>
      <c r="C61" s="12">
        <v>180343.11</v>
      </c>
      <c r="D61" s="12"/>
      <c r="E61" s="12">
        <v>277701.12</v>
      </c>
      <c r="F61" s="12"/>
      <c r="G61" s="12">
        <v>359673.97</v>
      </c>
      <c r="H61" s="12"/>
      <c r="I61" s="12">
        <v>276705.24</v>
      </c>
      <c r="J61" s="12"/>
      <c r="K61" s="12">
        <v>79883.399999999994</v>
      </c>
      <c r="L61" s="12"/>
      <c r="M61" s="12">
        <v>200660.03</v>
      </c>
      <c r="N61" s="12"/>
      <c r="O61" s="12">
        <v>390351.49</v>
      </c>
      <c r="P61" s="12"/>
      <c r="Q61" s="12">
        <v>130489.49</v>
      </c>
      <c r="R61" s="12"/>
      <c r="S61" s="12">
        <v>49735.49</v>
      </c>
      <c r="T61" s="12"/>
      <c r="U61" s="51">
        <v>-423.17</v>
      </c>
      <c r="V61" s="12"/>
      <c r="W61" s="12">
        <v>0</v>
      </c>
      <c r="X61" s="12"/>
      <c r="Y61" s="51">
        <v>-193.65</v>
      </c>
      <c r="Z61" s="21"/>
      <c r="AA61" s="12">
        <f t="shared" si="12"/>
        <v>1944926.52</v>
      </c>
      <c r="AB61" s="12">
        <f t="shared" si="13"/>
        <v>3449976.11</v>
      </c>
      <c r="AC61" s="13">
        <v>1505049.5899999999</v>
      </c>
    </row>
    <row r="62" spans="1:29" x14ac:dyDescent="0.35">
      <c r="A62" s="17" t="s">
        <v>7</v>
      </c>
      <c r="B62" s="11"/>
      <c r="C62" s="12">
        <v>10608.42</v>
      </c>
      <c r="D62" s="12"/>
      <c r="E62" s="12">
        <v>16335.36</v>
      </c>
      <c r="F62" s="12"/>
      <c r="G62" s="12">
        <v>21157.29</v>
      </c>
      <c r="H62" s="12"/>
      <c r="I62" s="12">
        <v>16276.78</v>
      </c>
      <c r="J62" s="12"/>
      <c r="K62" s="12">
        <v>4699.0200000000004</v>
      </c>
      <c r="L62" s="12"/>
      <c r="M62" s="12">
        <v>11803.53</v>
      </c>
      <c r="N62" s="12"/>
      <c r="O62" s="12">
        <v>22961.85</v>
      </c>
      <c r="P62" s="12"/>
      <c r="Q62" s="12">
        <v>7675.85</v>
      </c>
      <c r="R62" s="12"/>
      <c r="S62" s="12">
        <v>2925.62</v>
      </c>
      <c r="T62" s="12"/>
      <c r="U62" s="51">
        <v>-24.89</v>
      </c>
      <c r="V62" s="12"/>
      <c r="W62" s="12">
        <v>0</v>
      </c>
      <c r="X62" s="12"/>
      <c r="Y62" s="51">
        <v>-11.39</v>
      </c>
      <c r="Z62" s="21"/>
      <c r="AA62" s="12">
        <f t="shared" si="12"/>
        <v>114407.44</v>
      </c>
      <c r="AB62" s="12">
        <f t="shared" si="13"/>
        <v>202939.78</v>
      </c>
      <c r="AC62" s="13">
        <v>88532.34</v>
      </c>
    </row>
    <row r="63" spans="1:29" x14ac:dyDescent="0.35">
      <c r="A63" s="45" t="s">
        <v>9</v>
      </c>
      <c r="B63" s="11"/>
      <c r="C63" s="12"/>
      <c r="D63" s="12"/>
      <c r="E63" s="12"/>
      <c r="F63" s="12"/>
      <c r="G63" s="12"/>
      <c r="H63" s="12"/>
      <c r="I63" s="12"/>
      <c r="J63" s="12"/>
      <c r="K63" s="12"/>
      <c r="L63" s="12"/>
      <c r="M63" s="12"/>
      <c r="N63" s="12"/>
      <c r="O63" s="12"/>
      <c r="P63" s="12"/>
      <c r="Q63" s="12"/>
      <c r="R63" s="12"/>
      <c r="S63" s="12"/>
      <c r="T63" s="12"/>
      <c r="U63" s="12"/>
      <c r="V63" s="12"/>
      <c r="W63" s="12"/>
      <c r="X63" s="12"/>
      <c r="Y63" s="51"/>
      <c r="Z63" s="21"/>
      <c r="AA63" s="12"/>
      <c r="AB63" s="12"/>
      <c r="AC63" s="13"/>
    </row>
    <row r="64" spans="1:29" x14ac:dyDescent="0.35">
      <c r="A64" s="15" t="s">
        <v>2</v>
      </c>
      <c r="B64" s="11"/>
      <c r="C64" s="12">
        <v>22162651.199999999</v>
      </c>
      <c r="D64" s="12"/>
      <c r="E64" s="12">
        <v>25023832.579999998</v>
      </c>
      <c r="F64" s="12"/>
      <c r="G64" s="12">
        <v>31189213.489999998</v>
      </c>
      <c r="H64" s="12"/>
      <c r="I64" s="12">
        <v>30009534.07</v>
      </c>
      <c r="J64" s="12"/>
      <c r="K64" s="12">
        <v>32421342.170000002</v>
      </c>
      <c r="L64" s="12"/>
      <c r="M64" s="12">
        <v>30607085.75</v>
      </c>
      <c r="N64" s="12"/>
      <c r="O64" s="12">
        <v>28400982.539999999</v>
      </c>
      <c r="P64" s="12"/>
      <c r="Q64" s="12">
        <v>24748470.280000001</v>
      </c>
      <c r="R64" s="12"/>
      <c r="S64" s="12">
        <v>12001168.92</v>
      </c>
      <c r="T64" s="12"/>
      <c r="U64" s="12">
        <v>5917313.1100000003</v>
      </c>
      <c r="V64" s="12"/>
      <c r="W64" s="12">
        <v>8511101</v>
      </c>
      <c r="X64" s="12"/>
      <c r="Y64" s="51">
        <v>9442173.5600000005</v>
      </c>
      <c r="Z64" s="21"/>
      <c r="AA64" s="12">
        <f>SUM(C64:Z64)</f>
        <v>260434868.66999999</v>
      </c>
      <c r="AB64" s="12">
        <f t="shared" ref="AB64:AB69" si="14">AA64+AC64</f>
        <v>279178720.93000001</v>
      </c>
      <c r="AC64" s="13">
        <v>18743852.260000002</v>
      </c>
    </row>
    <row r="65" spans="1:29" x14ac:dyDescent="0.35">
      <c r="A65" s="15" t="s">
        <v>3</v>
      </c>
      <c r="B65" s="11"/>
      <c r="C65" s="12">
        <v>1526822.68</v>
      </c>
      <c r="D65" s="12"/>
      <c r="E65" s="12">
        <v>1723569.43</v>
      </c>
      <c r="F65" s="12"/>
      <c r="G65" s="12">
        <v>2570052.52</v>
      </c>
      <c r="H65" s="12"/>
      <c r="I65" s="12">
        <v>2467373.46</v>
      </c>
      <c r="J65" s="12"/>
      <c r="K65" s="12">
        <v>1916024.82</v>
      </c>
      <c r="L65" s="12"/>
      <c r="M65" s="12">
        <v>1453582.15</v>
      </c>
      <c r="N65" s="12"/>
      <c r="O65" s="12">
        <v>2620140.5499999998</v>
      </c>
      <c r="P65" s="12"/>
      <c r="Q65" s="12">
        <v>1136504.5</v>
      </c>
      <c r="R65" s="12"/>
      <c r="S65" s="12">
        <v>769662.45</v>
      </c>
      <c r="T65" s="12"/>
      <c r="U65" s="12">
        <v>355087</v>
      </c>
      <c r="V65" s="12"/>
      <c r="W65" s="12">
        <v>528072.35</v>
      </c>
      <c r="X65" s="12"/>
      <c r="Y65" s="51">
        <v>658509.23</v>
      </c>
      <c r="Z65" s="21"/>
      <c r="AA65" s="12">
        <f>SUM(C65:Z65)</f>
        <v>17725401.140000001</v>
      </c>
      <c r="AB65" s="12">
        <f t="shared" si="14"/>
        <v>19036327.57</v>
      </c>
      <c r="AC65" s="13">
        <v>1310926.43</v>
      </c>
    </row>
    <row r="66" spans="1:29" x14ac:dyDescent="0.35">
      <c r="A66" s="15" t="s">
        <v>4</v>
      </c>
      <c r="B66" s="11"/>
      <c r="C66" s="12">
        <v>986057.1</v>
      </c>
      <c r="D66" s="12"/>
      <c r="E66" s="12">
        <v>1308278.98</v>
      </c>
      <c r="F66" s="12"/>
      <c r="G66" s="12">
        <v>727824.68</v>
      </c>
      <c r="H66" s="12"/>
      <c r="I66" s="12">
        <v>560514.22</v>
      </c>
      <c r="J66" s="12"/>
      <c r="K66" s="12">
        <v>554349.14</v>
      </c>
      <c r="L66" s="12"/>
      <c r="M66" s="12">
        <v>364078.87</v>
      </c>
      <c r="N66" s="12"/>
      <c r="O66" s="12">
        <v>430116.25</v>
      </c>
      <c r="P66" s="12"/>
      <c r="Q66" s="12">
        <v>351939.5</v>
      </c>
      <c r="R66" s="12"/>
      <c r="S66" s="12">
        <v>167678.28</v>
      </c>
      <c r="T66" s="12"/>
      <c r="U66" s="12">
        <v>45535.63</v>
      </c>
      <c r="V66" s="12"/>
      <c r="W66" s="12">
        <v>70120.2</v>
      </c>
      <c r="X66" s="12"/>
      <c r="Y66" s="51">
        <v>63647.34</v>
      </c>
      <c r="Z66" s="21"/>
      <c r="AA66" s="12">
        <f>SUM(C66:Z66)</f>
        <v>5630140.1900000004</v>
      </c>
      <c r="AB66" s="12">
        <f t="shared" si="14"/>
        <v>6475970.8100000005</v>
      </c>
      <c r="AC66" s="13">
        <v>845830.62</v>
      </c>
    </row>
    <row r="67" spans="1:29" x14ac:dyDescent="0.35">
      <c r="A67" s="15" t="s">
        <v>5</v>
      </c>
      <c r="B67" s="11"/>
      <c r="C67" s="12">
        <v>540765.57999999996</v>
      </c>
      <c r="D67" s="12"/>
      <c r="E67" s="12">
        <v>415290.47</v>
      </c>
      <c r="F67" s="12"/>
      <c r="G67" s="12">
        <v>1842227.84</v>
      </c>
      <c r="H67" s="12"/>
      <c r="I67" s="12">
        <v>1906859.23</v>
      </c>
      <c r="J67" s="12"/>
      <c r="K67" s="12">
        <v>1361675.68</v>
      </c>
      <c r="L67" s="12"/>
      <c r="M67" s="12">
        <v>1089503.29</v>
      </c>
      <c r="N67" s="12"/>
      <c r="O67" s="12">
        <v>2190024.2999999998</v>
      </c>
      <c r="P67" s="12"/>
      <c r="Q67" s="12">
        <v>784565</v>
      </c>
      <c r="R67" s="12"/>
      <c r="S67" s="12">
        <v>601984.17000000004</v>
      </c>
      <c r="T67" s="12"/>
      <c r="U67" s="12">
        <v>309551.37</v>
      </c>
      <c r="V67" s="12"/>
      <c r="W67" s="12">
        <v>457952.15</v>
      </c>
      <c r="X67" s="12"/>
      <c r="Y67" s="51">
        <v>594861.89</v>
      </c>
      <c r="Z67" s="21"/>
      <c r="AA67" s="12">
        <f t="shared" ref="AA67:AA69" si="15">SUM(C67:Z67)</f>
        <v>12095260.970000001</v>
      </c>
      <c r="AB67" s="12">
        <f t="shared" si="14"/>
        <v>12599109.42</v>
      </c>
      <c r="AC67" s="13">
        <v>503848.45</v>
      </c>
    </row>
    <row r="68" spans="1:29" x14ac:dyDescent="0.35">
      <c r="A68" s="15" t="s">
        <v>10</v>
      </c>
      <c r="B68" s="11"/>
      <c r="C68" s="12">
        <v>183860.3</v>
      </c>
      <c r="D68" s="12"/>
      <c r="E68" s="12">
        <v>141198.76</v>
      </c>
      <c r="F68" s="12"/>
      <c r="G68" s="12">
        <v>626357.47</v>
      </c>
      <c r="H68" s="12"/>
      <c r="I68" s="12">
        <v>648332.14</v>
      </c>
      <c r="J68" s="12"/>
      <c r="K68" s="12">
        <v>462969.73</v>
      </c>
      <c r="L68" s="12"/>
      <c r="M68" s="12">
        <v>370431.12</v>
      </c>
      <c r="N68" s="12"/>
      <c r="O68" s="12">
        <v>744608.26</v>
      </c>
      <c r="P68" s="12"/>
      <c r="Q68" s="12">
        <v>266752.09999999998</v>
      </c>
      <c r="R68" s="12"/>
      <c r="S68" s="12">
        <v>204674.62</v>
      </c>
      <c r="T68" s="12"/>
      <c r="U68" s="12">
        <v>105247.47</v>
      </c>
      <c r="V68" s="12"/>
      <c r="W68" s="12">
        <v>155703.73000000001</v>
      </c>
      <c r="X68" s="12"/>
      <c r="Y68" s="51">
        <v>202253.04</v>
      </c>
      <c r="Z68" s="21"/>
      <c r="AA68" s="12">
        <f t="shared" si="15"/>
        <v>4112388.7400000007</v>
      </c>
      <c r="AB68" s="12">
        <f t="shared" si="14"/>
        <v>4283697.2100000009</v>
      </c>
      <c r="AC68" s="13">
        <v>171308.47</v>
      </c>
    </row>
    <row r="69" spans="1:29" x14ac:dyDescent="0.35">
      <c r="A69" s="17" t="s">
        <v>7</v>
      </c>
      <c r="B69" s="11"/>
      <c r="C69" s="12">
        <v>10815.31</v>
      </c>
      <c r="D69" s="12"/>
      <c r="E69" s="12">
        <v>8305.81</v>
      </c>
      <c r="F69" s="12"/>
      <c r="G69" s="12">
        <v>36844.559999999998</v>
      </c>
      <c r="H69" s="12"/>
      <c r="I69" s="12">
        <v>38137.18</v>
      </c>
      <c r="J69" s="12"/>
      <c r="K69" s="12">
        <v>27233.51</v>
      </c>
      <c r="L69" s="12"/>
      <c r="M69" s="12">
        <v>21790.07</v>
      </c>
      <c r="N69" s="12"/>
      <c r="O69" s="12">
        <v>43800.49</v>
      </c>
      <c r="P69" s="12"/>
      <c r="Q69" s="12">
        <v>15691.3</v>
      </c>
      <c r="R69" s="12"/>
      <c r="S69" s="12">
        <v>12039.68</v>
      </c>
      <c r="T69" s="12"/>
      <c r="U69" s="12">
        <v>6191.03</v>
      </c>
      <c r="V69" s="12"/>
      <c r="W69" s="12">
        <v>9159.0400000000009</v>
      </c>
      <c r="X69" s="12"/>
      <c r="Y69" s="51">
        <v>11897.24</v>
      </c>
      <c r="Z69" s="21"/>
      <c r="AA69" s="12">
        <f t="shared" si="15"/>
        <v>241905.21999999994</v>
      </c>
      <c r="AB69" s="12">
        <f t="shared" si="14"/>
        <v>251982.18999999994</v>
      </c>
      <c r="AC69" s="13">
        <v>10076.969999999999</v>
      </c>
    </row>
    <row r="70" spans="1:29" x14ac:dyDescent="0.35">
      <c r="A70" s="17"/>
      <c r="B70" s="11"/>
      <c r="C70" s="12"/>
      <c r="D70" s="12"/>
      <c r="E70" s="12"/>
      <c r="F70" s="12"/>
      <c r="G70" s="12"/>
      <c r="H70" s="12"/>
      <c r="I70" s="12"/>
      <c r="J70" s="12"/>
      <c r="K70" s="12"/>
      <c r="L70" s="12"/>
      <c r="M70" s="12"/>
      <c r="N70" s="12"/>
      <c r="O70" s="12"/>
      <c r="P70" s="12"/>
      <c r="Q70" s="12"/>
      <c r="R70" s="12"/>
      <c r="S70" s="12"/>
      <c r="T70" s="12"/>
      <c r="U70" s="12"/>
      <c r="V70" s="12"/>
      <c r="W70" s="12"/>
      <c r="X70" s="12"/>
      <c r="Y70" s="12"/>
      <c r="Z70" s="21"/>
      <c r="AA70" s="12"/>
      <c r="AB70" s="12"/>
      <c r="AC70" s="13"/>
    </row>
    <row r="71" spans="1:29" x14ac:dyDescent="0.35">
      <c r="A71" s="17"/>
      <c r="B71" s="11"/>
      <c r="C71" s="12"/>
      <c r="D71" s="12"/>
      <c r="E71" s="12"/>
      <c r="F71" s="12"/>
      <c r="G71" s="12"/>
      <c r="H71" s="12"/>
      <c r="I71" s="12"/>
      <c r="J71" s="12"/>
      <c r="K71" s="12"/>
      <c r="L71" s="12"/>
      <c r="M71" s="12"/>
      <c r="N71" s="12"/>
      <c r="O71" s="12"/>
      <c r="P71" s="12"/>
      <c r="Q71" s="12"/>
      <c r="R71" s="12"/>
      <c r="S71" s="12"/>
      <c r="T71" s="12"/>
      <c r="U71" s="12"/>
      <c r="V71" s="12"/>
      <c r="W71" s="12"/>
      <c r="X71" s="12"/>
      <c r="Y71" s="12"/>
      <c r="Z71" s="21"/>
      <c r="AA71" s="12"/>
      <c r="AB71" s="12"/>
      <c r="AC71" s="13"/>
    </row>
    <row r="72" spans="1:29" x14ac:dyDescent="0.35">
      <c r="A72" s="11" t="s">
        <v>11</v>
      </c>
      <c r="B72" s="15"/>
      <c r="C72" s="12"/>
      <c r="D72" s="12"/>
      <c r="E72" s="12"/>
      <c r="F72" s="12"/>
      <c r="G72" s="12"/>
      <c r="H72" s="12"/>
      <c r="I72" s="12"/>
      <c r="J72" s="12"/>
      <c r="K72" s="12"/>
      <c r="L72" s="12"/>
      <c r="M72" s="12"/>
      <c r="N72" s="12"/>
      <c r="O72" s="12"/>
      <c r="P72" s="12"/>
      <c r="Q72" s="12"/>
      <c r="R72" s="12"/>
      <c r="S72" s="12"/>
      <c r="T72" s="12"/>
      <c r="U72" s="12"/>
      <c r="V72" s="12"/>
      <c r="W72" s="12"/>
      <c r="X72" s="12"/>
      <c r="Y72" s="12"/>
      <c r="Z72" s="21"/>
      <c r="AA72" s="12"/>
      <c r="AB72" s="12"/>
      <c r="AC72" s="13"/>
    </row>
    <row r="73" spans="1:29" x14ac:dyDescent="0.35">
      <c r="A73" s="45" t="s">
        <v>1</v>
      </c>
      <c r="B73" s="15"/>
      <c r="C73" s="12"/>
      <c r="D73" s="12"/>
      <c r="E73" s="12"/>
      <c r="F73" s="12"/>
      <c r="G73" s="12"/>
      <c r="H73" s="12"/>
      <c r="I73" s="12"/>
      <c r="J73" s="12"/>
      <c r="K73" s="12"/>
      <c r="L73" s="12"/>
      <c r="M73" s="12"/>
      <c r="N73" s="12"/>
      <c r="O73" s="12"/>
      <c r="P73" s="12"/>
      <c r="Q73" s="12"/>
      <c r="R73" s="12"/>
      <c r="S73" s="12"/>
      <c r="T73" s="12"/>
      <c r="U73" s="12"/>
      <c r="V73" s="12"/>
      <c r="W73" s="12"/>
      <c r="X73" s="12"/>
      <c r="Y73" s="12"/>
      <c r="Z73" s="21"/>
      <c r="AA73" s="12"/>
      <c r="AB73" s="12"/>
      <c r="AC73" s="13"/>
    </row>
    <row r="74" spans="1:29" x14ac:dyDescent="0.35">
      <c r="A74" s="15" t="s">
        <v>2</v>
      </c>
      <c r="B74" s="15"/>
      <c r="C74" s="12">
        <v>7199506.7699999996</v>
      </c>
      <c r="D74" s="12"/>
      <c r="E74" s="12">
        <v>10988663.09</v>
      </c>
      <c r="F74" s="12"/>
      <c r="G74" s="12">
        <v>21095922.740000002</v>
      </c>
      <c r="H74" s="12"/>
      <c r="I74" s="12">
        <v>25949811.32</v>
      </c>
      <c r="J74" s="12"/>
      <c r="K74" s="12">
        <v>30473225.550000001</v>
      </c>
      <c r="L74" s="12"/>
      <c r="M74" s="12">
        <v>33021381.82</v>
      </c>
      <c r="N74" s="12"/>
      <c r="O74" s="12">
        <v>27926078.099999998</v>
      </c>
      <c r="P74" s="12"/>
      <c r="Q74" s="12">
        <v>25749773.460000001</v>
      </c>
      <c r="R74" s="12"/>
      <c r="S74" s="12">
        <v>9885702.6699999999</v>
      </c>
      <c r="T74" s="12"/>
      <c r="U74" s="12">
        <v>2158501.11</v>
      </c>
      <c r="V74" s="12"/>
      <c r="W74" s="12">
        <v>3816857.65</v>
      </c>
      <c r="X74" s="12"/>
      <c r="Y74" s="51">
        <v>5250668.8099999996</v>
      </c>
      <c r="Z74" s="21"/>
      <c r="AA74" s="12">
        <f t="shared" ref="AA74:AA79" si="16">SUM(C74:Z74)</f>
        <v>203516093.09</v>
      </c>
      <c r="AB74" s="12">
        <f t="shared" ref="AB74:AB79" si="17">AA74+AC74</f>
        <v>242972964.75</v>
      </c>
      <c r="AC74" s="13">
        <v>39456871.659999996</v>
      </c>
    </row>
    <row r="75" spans="1:29" x14ac:dyDescent="0.35">
      <c r="A75" s="15" t="s">
        <v>3</v>
      </c>
      <c r="B75" s="15"/>
      <c r="C75" s="12">
        <v>747799.41</v>
      </c>
      <c r="D75" s="12"/>
      <c r="E75" s="12">
        <v>1343517.72</v>
      </c>
      <c r="F75" s="12"/>
      <c r="G75" s="12">
        <v>2902603.56</v>
      </c>
      <c r="H75" s="12"/>
      <c r="I75" s="12">
        <v>2748401.38</v>
      </c>
      <c r="J75" s="12"/>
      <c r="K75" s="12">
        <v>2316751.83</v>
      </c>
      <c r="L75" s="12"/>
      <c r="M75" s="12">
        <v>1666707.16</v>
      </c>
      <c r="N75" s="12"/>
      <c r="O75" s="12">
        <v>3148317.71</v>
      </c>
      <c r="P75" s="12"/>
      <c r="Q75" s="12">
        <v>1268842.54</v>
      </c>
      <c r="R75" s="12"/>
      <c r="S75" s="12">
        <v>882816.64</v>
      </c>
      <c r="T75" s="12"/>
      <c r="U75" s="12">
        <v>200864.92</v>
      </c>
      <c r="V75" s="12"/>
      <c r="W75" s="12">
        <v>309472.92</v>
      </c>
      <c r="X75" s="12"/>
      <c r="Y75" s="51">
        <v>700761.52999999991</v>
      </c>
      <c r="Z75" s="21"/>
      <c r="AA75" s="12">
        <f t="shared" si="16"/>
        <v>18236857.320000004</v>
      </c>
      <c r="AB75" s="12">
        <f t="shared" si="17"/>
        <v>22722610.630000003</v>
      </c>
      <c r="AC75" s="13">
        <v>4485753.3099999996</v>
      </c>
    </row>
    <row r="76" spans="1:29" x14ac:dyDescent="0.35">
      <c r="A76" s="15" t="s">
        <v>4</v>
      </c>
      <c r="B76" s="15"/>
      <c r="C76" s="12">
        <v>90825.79</v>
      </c>
      <c r="D76" s="12"/>
      <c r="E76" s="12">
        <v>119591.25</v>
      </c>
      <c r="F76" s="12"/>
      <c r="G76" s="12">
        <v>506151</v>
      </c>
      <c r="H76" s="12"/>
      <c r="I76" s="12">
        <v>486990.25</v>
      </c>
      <c r="J76" s="12"/>
      <c r="K76" s="12">
        <v>313394.2</v>
      </c>
      <c r="L76" s="12"/>
      <c r="M76" s="12">
        <v>314761.98</v>
      </c>
      <c r="N76" s="12"/>
      <c r="O76" s="12">
        <v>231568.3</v>
      </c>
      <c r="P76" s="12"/>
      <c r="Q76" s="12">
        <v>322794.51</v>
      </c>
      <c r="R76" s="12"/>
      <c r="S76" s="12">
        <v>96567.28</v>
      </c>
      <c r="T76" s="12"/>
      <c r="U76" s="12">
        <v>7523.81</v>
      </c>
      <c r="V76" s="12"/>
      <c r="W76" s="12">
        <v>30622.91</v>
      </c>
      <c r="X76" s="12"/>
      <c r="Y76" s="51">
        <v>30001.22</v>
      </c>
      <c r="Z76" s="21"/>
      <c r="AA76" s="12">
        <f t="shared" si="16"/>
        <v>2550792.5000000005</v>
      </c>
      <c r="AB76" s="12">
        <f t="shared" si="17"/>
        <v>2579005.1800000006</v>
      </c>
      <c r="AC76" s="13">
        <v>28212.68</v>
      </c>
    </row>
    <row r="77" spans="1:29" x14ac:dyDescent="0.35">
      <c r="A77" s="15" t="s">
        <v>5</v>
      </c>
      <c r="B77" s="15"/>
      <c r="C77" s="12">
        <v>656973.62</v>
      </c>
      <c r="D77" s="12"/>
      <c r="E77" s="12">
        <v>1223926.47</v>
      </c>
      <c r="F77" s="12"/>
      <c r="G77" s="12">
        <v>2396452.56</v>
      </c>
      <c r="H77" s="12"/>
      <c r="I77" s="12">
        <v>2261411.13</v>
      </c>
      <c r="J77" s="12"/>
      <c r="K77" s="12">
        <v>2003357.63</v>
      </c>
      <c r="L77" s="12"/>
      <c r="M77" s="12">
        <v>1351945.1800000002</v>
      </c>
      <c r="N77" s="12"/>
      <c r="O77" s="12">
        <v>2916749.41</v>
      </c>
      <c r="P77" s="12"/>
      <c r="Q77" s="12">
        <v>946048.03</v>
      </c>
      <c r="R77" s="12"/>
      <c r="S77" s="12">
        <v>786249.36</v>
      </c>
      <c r="T77" s="12"/>
      <c r="U77" s="12">
        <v>193341.11000000002</v>
      </c>
      <c r="V77" s="12"/>
      <c r="W77" s="12">
        <v>278850.01</v>
      </c>
      <c r="X77" s="12"/>
      <c r="Y77" s="51">
        <v>670760.30999999994</v>
      </c>
      <c r="Z77" s="21"/>
      <c r="AA77" s="12">
        <f t="shared" si="16"/>
        <v>15686064.819999998</v>
      </c>
      <c r="AB77" s="12">
        <f t="shared" si="17"/>
        <v>20143605.449999999</v>
      </c>
      <c r="AC77" s="13">
        <v>4457540.63</v>
      </c>
    </row>
    <row r="78" spans="1:29" x14ac:dyDescent="0.35">
      <c r="A78" s="15" t="s">
        <v>6</v>
      </c>
      <c r="B78" s="15"/>
      <c r="C78" s="12">
        <v>223371.03000000003</v>
      </c>
      <c r="D78" s="12"/>
      <c r="E78" s="12">
        <v>416135</v>
      </c>
      <c r="F78" s="12"/>
      <c r="G78" s="12">
        <v>814793.88</v>
      </c>
      <c r="H78" s="12"/>
      <c r="I78" s="12">
        <v>768879.79</v>
      </c>
      <c r="J78" s="12"/>
      <c r="K78" s="12">
        <v>681141.6</v>
      </c>
      <c r="L78" s="12"/>
      <c r="M78" s="12">
        <v>459661.37</v>
      </c>
      <c r="N78" s="12"/>
      <c r="O78" s="12">
        <v>991694.79999999993</v>
      </c>
      <c r="P78" s="12"/>
      <c r="Q78" s="12">
        <v>321656.33</v>
      </c>
      <c r="R78" s="12"/>
      <c r="S78" s="12">
        <v>267324.77999999997</v>
      </c>
      <c r="T78" s="12"/>
      <c r="U78" s="12">
        <v>65735.98</v>
      </c>
      <c r="V78" s="12"/>
      <c r="W78" s="12">
        <v>94809</v>
      </c>
      <c r="X78" s="12"/>
      <c r="Y78" s="51">
        <v>228058.5</v>
      </c>
      <c r="Z78" s="21"/>
      <c r="AA78" s="12">
        <f t="shared" si="16"/>
        <v>5333262.0600000015</v>
      </c>
      <c r="AB78" s="12">
        <f t="shared" si="17"/>
        <v>6848825.870000001</v>
      </c>
      <c r="AC78" s="13">
        <v>1515563.81</v>
      </c>
    </row>
    <row r="79" spans="1:29" x14ac:dyDescent="0.35">
      <c r="A79" s="17" t="s">
        <v>7</v>
      </c>
      <c r="B79" s="15"/>
      <c r="C79" s="12">
        <v>13139.470000000001</v>
      </c>
      <c r="D79" s="12"/>
      <c r="E79" s="12">
        <v>24478.53</v>
      </c>
      <c r="F79" s="12"/>
      <c r="G79" s="12">
        <v>47929.06</v>
      </c>
      <c r="H79" s="12"/>
      <c r="I79" s="12">
        <v>45228.229999999996</v>
      </c>
      <c r="J79" s="12"/>
      <c r="K79" s="12">
        <v>40067.15</v>
      </c>
      <c r="L79" s="12"/>
      <c r="M79" s="12">
        <v>27038.91</v>
      </c>
      <c r="N79" s="12"/>
      <c r="O79" s="12">
        <v>58334.99</v>
      </c>
      <c r="P79" s="12"/>
      <c r="Q79" s="12">
        <v>18920.96</v>
      </c>
      <c r="R79" s="12"/>
      <c r="S79" s="12">
        <v>15724.99</v>
      </c>
      <c r="T79" s="12"/>
      <c r="U79" s="12">
        <v>3866.82</v>
      </c>
      <c r="V79" s="12"/>
      <c r="W79" s="12">
        <v>5577</v>
      </c>
      <c r="X79" s="12"/>
      <c r="Y79" s="51">
        <v>13415.21</v>
      </c>
      <c r="Z79" s="21"/>
      <c r="AA79" s="12">
        <f t="shared" si="16"/>
        <v>313721.32</v>
      </c>
      <c r="AB79" s="12">
        <f t="shared" si="17"/>
        <v>402872.14</v>
      </c>
      <c r="AC79" s="13">
        <v>89150.819999999992</v>
      </c>
    </row>
    <row r="80" spans="1:29" x14ac:dyDescent="0.35">
      <c r="A80" s="45" t="s">
        <v>8</v>
      </c>
      <c r="B80" s="15"/>
      <c r="C80" s="12"/>
      <c r="D80" s="12"/>
      <c r="E80" s="12"/>
      <c r="F80" s="12"/>
      <c r="G80" s="12"/>
      <c r="H80" s="12"/>
      <c r="I80" s="12"/>
      <c r="J80" s="12"/>
      <c r="K80" s="12"/>
      <c r="L80" s="12"/>
      <c r="M80" s="12"/>
      <c r="N80" s="12"/>
      <c r="O80" s="12"/>
      <c r="P80" s="12"/>
      <c r="Q80" s="12"/>
      <c r="R80" s="12"/>
      <c r="S80" s="12"/>
      <c r="T80" s="12"/>
      <c r="U80" s="12"/>
      <c r="V80" s="12"/>
      <c r="W80" s="12"/>
      <c r="X80" s="12"/>
      <c r="Y80" s="51"/>
      <c r="Z80" s="21"/>
      <c r="AA80" s="12"/>
      <c r="AB80" s="12"/>
      <c r="AC80" s="13"/>
    </row>
    <row r="81" spans="1:29" x14ac:dyDescent="0.35">
      <c r="A81" s="15" t="s">
        <v>2</v>
      </c>
      <c r="B81" s="15"/>
      <c r="C81" s="12">
        <v>3550511.45</v>
      </c>
      <c r="D81" s="12"/>
      <c r="E81" s="12">
        <v>4960489.8</v>
      </c>
      <c r="F81" s="12"/>
      <c r="G81" s="12">
        <v>7276063.9800000004</v>
      </c>
      <c r="H81" s="12"/>
      <c r="I81" s="12">
        <v>7505972.6200000001</v>
      </c>
      <c r="J81" s="12"/>
      <c r="K81" s="12">
        <v>8111486.8700000001</v>
      </c>
      <c r="L81" s="12"/>
      <c r="M81" s="12">
        <v>7506838.8399999999</v>
      </c>
      <c r="N81" s="12"/>
      <c r="O81" s="12">
        <v>6665727.8799999999</v>
      </c>
      <c r="P81" s="12"/>
      <c r="Q81" s="12">
        <v>5876223.7300000004</v>
      </c>
      <c r="R81" s="12"/>
      <c r="S81" s="12">
        <v>2008246.95</v>
      </c>
      <c r="T81" s="12"/>
      <c r="U81" s="51">
        <v>0</v>
      </c>
      <c r="V81" s="12"/>
      <c r="W81" s="12">
        <v>0</v>
      </c>
      <c r="X81" s="12"/>
      <c r="Y81" s="51">
        <v>56061.97</v>
      </c>
      <c r="Z81" s="21"/>
      <c r="AA81" s="12">
        <f>SUM(C81:Z81)</f>
        <v>53517624.090000004</v>
      </c>
      <c r="AB81" s="12">
        <f t="shared" ref="AB81:AB84" si="18">AA81+AC81</f>
        <v>92667484.319999993</v>
      </c>
      <c r="AC81" s="13">
        <v>39149860.229999997</v>
      </c>
    </row>
    <row r="82" spans="1:29" x14ac:dyDescent="0.35">
      <c r="A82" s="15" t="s">
        <v>5</v>
      </c>
      <c r="B82" s="15"/>
      <c r="C82" s="12">
        <v>414729.91</v>
      </c>
      <c r="D82" s="12"/>
      <c r="E82" s="12">
        <v>722944.83</v>
      </c>
      <c r="F82" s="12"/>
      <c r="G82" s="12">
        <v>1073204.75</v>
      </c>
      <c r="H82" s="12"/>
      <c r="I82" s="12">
        <v>1014124.81</v>
      </c>
      <c r="J82" s="12"/>
      <c r="K82" s="12">
        <v>739280.64</v>
      </c>
      <c r="L82" s="12"/>
      <c r="M82" s="12">
        <v>572415.78</v>
      </c>
      <c r="N82" s="12"/>
      <c r="O82" s="12">
        <v>875269.45</v>
      </c>
      <c r="P82" s="12"/>
      <c r="Q82" s="12">
        <v>127231.23</v>
      </c>
      <c r="R82" s="12"/>
      <c r="S82" s="12">
        <v>168090.39</v>
      </c>
      <c r="T82" s="12"/>
      <c r="U82" s="51">
        <v>-321.3</v>
      </c>
      <c r="V82" s="12"/>
      <c r="W82" s="12">
        <v>0</v>
      </c>
      <c r="X82" s="12"/>
      <c r="Y82" s="51">
        <v>-21888.55</v>
      </c>
      <c r="Z82" s="21"/>
      <c r="AA82" s="12">
        <f>SUM(C82:Z82)</f>
        <v>5685081.9400000013</v>
      </c>
      <c r="AB82" s="12">
        <f t="shared" si="18"/>
        <v>10124190.120000001</v>
      </c>
      <c r="AC82" s="13">
        <v>4439108.18</v>
      </c>
    </row>
    <row r="83" spans="1:29" x14ac:dyDescent="0.35">
      <c r="A83" s="15" t="s">
        <v>10</v>
      </c>
      <c r="B83" s="15"/>
      <c r="C83" s="12">
        <v>141008.17000000001</v>
      </c>
      <c r="D83" s="12"/>
      <c r="E83" s="12">
        <v>245801.24</v>
      </c>
      <c r="F83" s="12"/>
      <c r="G83" s="12">
        <v>364889.62</v>
      </c>
      <c r="H83" s="12"/>
      <c r="I83" s="12">
        <v>344802.44</v>
      </c>
      <c r="J83" s="12"/>
      <c r="K83" s="12">
        <v>251355.42</v>
      </c>
      <c r="L83" s="12"/>
      <c r="M83" s="12">
        <v>194621.37</v>
      </c>
      <c r="N83" s="12"/>
      <c r="O83" s="12">
        <v>297591.61</v>
      </c>
      <c r="P83" s="12"/>
      <c r="Q83" s="12">
        <v>43258.62</v>
      </c>
      <c r="R83" s="12"/>
      <c r="S83" s="12">
        <v>57150.73</v>
      </c>
      <c r="T83" s="12"/>
      <c r="U83" s="51">
        <v>-109.24</v>
      </c>
      <c r="V83" s="12"/>
      <c r="W83" s="12">
        <v>0</v>
      </c>
      <c r="X83" s="12"/>
      <c r="Y83" s="51">
        <v>-7442.11</v>
      </c>
      <c r="Z83" s="21"/>
      <c r="AA83" s="12">
        <f>SUM(C83:Z83)</f>
        <v>1932927.8699999996</v>
      </c>
      <c r="AB83" s="12">
        <f t="shared" si="18"/>
        <v>3442224.6499999994</v>
      </c>
      <c r="AC83" s="13">
        <v>1509296.78</v>
      </c>
    </row>
    <row r="84" spans="1:29" x14ac:dyDescent="0.35">
      <c r="A84" s="17" t="s">
        <v>7</v>
      </c>
      <c r="B84" s="15"/>
      <c r="C84" s="12">
        <v>8294.6</v>
      </c>
      <c r="D84" s="12"/>
      <c r="E84" s="12">
        <v>14458.9</v>
      </c>
      <c r="F84" s="12"/>
      <c r="G84" s="12">
        <v>21464.1</v>
      </c>
      <c r="H84" s="12"/>
      <c r="I84" s="12">
        <v>20282.5</v>
      </c>
      <c r="J84" s="12"/>
      <c r="K84" s="12">
        <v>14785.61</v>
      </c>
      <c r="L84" s="12"/>
      <c r="M84" s="12">
        <v>11448.32</v>
      </c>
      <c r="N84" s="12"/>
      <c r="O84" s="12">
        <v>17505.39</v>
      </c>
      <c r="P84" s="12"/>
      <c r="Q84" s="12">
        <v>2544.62</v>
      </c>
      <c r="R84" s="12"/>
      <c r="S84" s="12">
        <v>3361.81</v>
      </c>
      <c r="T84" s="12"/>
      <c r="U84" s="51">
        <v>-6.43</v>
      </c>
      <c r="V84" s="12"/>
      <c r="W84" s="12">
        <v>0</v>
      </c>
      <c r="X84" s="12"/>
      <c r="Y84" s="51">
        <v>-437.77</v>
      </c>
      <c r="Z84" s="21"/>
      <c r="AA84" s="12">
        <f>SUM(C84:Z84)</f>
        <v>113701.65</v>
      </c>
      <c r="AB84" s="12">
        <f t="shared" si="18"/>
        <v>202483.82</v>
      </c>
      <c r="AC84" s="13">
        <v>88782.17</v>
      </c>
    </row>
    <row r="85" spans="1:29" x14ac:dyDescent="0.35">
      <c r="A85" s="45" t="s">
        <v>9</v>
      </c>
      <c r="B85" s="15"/>
      <c r="C85" s="12"/>
      <c r="D85" s="12"/>
      <c r="E85" s="12"/>
      <c r="F85" s="12"/>
      <c r="G85" s="12"/>
      <c r="H85" s="12"/>
      <c r="I85" s="12"/>
      <c r="J85" s="12"/>
      <c r="K85" s="12"/>
      <c r="L85" s="12"/>
      <c r="M85" s="12"/>
      <c r="N85" s="12"/>
      <c r="O85" s="12"/>
      <c r="P85" s="12"/>
      <c r="Q85" s="12"/>
      <c r="R85" s="12"/>
      <c r="S85" s="12"/>
      <c r="T85" s="12"/>
      <c r="U85" s="12"/>
      <c r="V85" s="12"/>
      <c r="W85" s="12"/>
      <c r="X85" s="12"/>
      <c r="Y85" s="51"/>
      <c r="Z85" s="21"/>
      <c r="AA85" s="12"/>
      <c r="AB85" s="12"/>
      <c r="AC85" s="13"/>
    </row>
    <row r="86" spans="1:29" x14ac:dyDescent="0.35">
      <c r="A86" s="15" t="s">
        <v>2</v>
      </c>
      <c r="B86" s="15"/>
      <c r="C86" s="12">
        <v>3648995.32</v>
      </c>
      <c r="D86" s="12"/>
      <c r="E86" s="12">
        <v>6028173.29</v>
      </c>
      <c r="F86" s="12"/>
      <c r="G86" s="12">
        <v>13819858.76</v>
      </c>
      <c r="H86" s="12"/>
      <c r="I86" s="12">
        <v>18443838.699999999</v>
      </c>
      <c r="J86" s="12"/>
      <c r="K86" s="12">
        <v>22361738.68</v>
      </c>
      <c r="L86" s="12"/>
      <c r="M86" s="12">
        <v>25514542.98</v>
      </c>
      <c r="N86" s="12"/>
      <c r="O86" s="12">
        <v>21260350.219999999</v>
      </c>
      <c r="P86" s="12"/>
      <c r="Q86" s="12">
        <v>19873549.73</v>
      </c>
      <c r="R86" s="12"/>
      <c r="S86" s="12">
        <v>7877455.7199999997</v>
      </c>
      <c r="T86" s="12"/>
      <c r="U86" s="12">
        <v>2158501.11</v>
      </c>
      <c r="V86" s="12"/>
      <c r="W86" s="12">
        <v>3816857.65</v>
      </c>
      <c r="X86" s="12"/>
      <c r="Y86" s="51">
        <v>5194606.84</v>
      </c>
      <c r="Z86" s="21"/>
      <c r="AA86" s="12">
        <f t="shared" ref="AA86:AA91" si="19">SUM(C86:Z86)</f>
        <v>149998469.00000003</v>
      </c>
      <c r="AB86" s="12">
        <f t="shared" ref="AB86:AB91" si="20">AA86+AC86</f>
        <v>150305480.43000004</v>
      </c>
      <c r="AC86" s="13">
        <v>307011.43</v>
      </c>
    </row>
    <row r="87" spans="1:29" x14ac:dyDescent="0.35">
      <c r="A87" s="15" t="s">
        <v>3</v>
      </c>
      <c r="B87" s="15"/>
      <c r="C87" s="12">
        <v>333069.5</v>
      </c>
      <c r="D87" s="12"/>
      <c r="E87" s="12">
        <v>620572.89</v>
      </c>
      <c r="F87" s="12"/>
      <c r="G87" s="12">
        <v>1829398.81</v>
      </c>
      <c r="H87" s="12"/>
      <c r="I87" s="12">
        <v>1734276.57</v>
      </c>
      <c r="J87" s="12"/>
      <c r="K87" s="12">
        <v>1577471.19</v>
      </c>
      <c r="L87" s="12"/>
      <c r="M87" s="12">
        <v>1094291.3799999999</v>
      </c>
      <c r="N87" s="12"/>
      <c r="O87" s="12">
        <v>2273048.2599999998</v>
      </c>
      <c r="P87" s="12"/>
      <c r="Q87" s="12">
        <v>1141611.31</v>
      </c>
      <c r="R87" s="12"/>
      <c r="S87" s="12">
        <v>714726.25</v>
      </c>
      <c r="T87" s="12"/>
      <c r="U87" s="12">
        <v>201186.22</v>
      </c>
      <c r="V87" s="12"/>
      <c r="W87" s="12">
        <v>309472.92</v>
      </c>
      <c r="X87" s="12"/>
      <c r="Y87" s="51">
        <v>722650.08</v>
      </c>
      <c r="Z87" s="21"/>
      <c r="AA87" s="12">
        <f t="shared" si="19"/>
        <v>12551775.380000003</v>
      </c>
      <c r="AB87" s="12">
        <f t="shared" si="20"/>
        <v>12598420.510000004</v>
      </c>
      <c r="AC87" s="13">
        <v>46645.13</v>
      </c>
    </row>
    <row r="88" spans="1:29" x14ac:dyDescent="0.35">
      <c r="A88" s="15" t="s">
        <v>4</v>
      </c>
      <c r="B88" s="15"/>
      <c r="C88" s="12">
        <v>90825.79</v>
      </c>
      <c r="D88" s="12"/>
      <c r="E88" s="12">
        <v>119591.25</v>
      </c>
      <c r="F88" s="12"/>
      <c r="G88" s="12">
        <v>506151</v>
      </c>
      <c r="H88" s="12"/>
      <c r="I88" s="12">
        <v>486990.25</v>
      </c>
      <c r="J88" s="12"/>
      <c r="K88" s="12">
        <v>313394.2</v>
      </c>
      <c r="L88" s="12"/>
      <c r="M88" s="12">
        <v>314761.98</v>
      </c>
      <c r="N88" s="12"/>
      <c r="O88" s="12">
        <v>231568.3</v>
      </c>
      <c r="P88" s="12"/>
      <c r="Q88" s="12">
        <v>322794.51</v>
      </c>
      <c r="R88" s="12"/>
      <c r="S88" s="12">
        <v>96567.28</v>
      </c>
      <c r="T88" s="12"/>
      <c r="U88" s="12">
        <v>7523.81</v>
      </c>
      <c r="V88" s="12"/>
      <c r="W88" s="12">
        <v>30622.91</v>
      </c>
      <c r="X88" s="12"/>
      <c r="Y88" s="51">
        <v>30001.22</v>
      </c>
      <c r="Z88" s="21"/>
      <c r="AA88" s="12">
        <f t="shared" si="19"/>
        <v>2550792.5000000005</v>
      </c>
      <c r="AB88" s="12">
        <f t="shared" si="20"/>
        <v>2579005.1800000006</v>
      </c>
      <c r="AC88" s="13">
        <v>28212.68</v>
      </c>
    </row>
    <row r="89" spans="1:29" x14ac:dyDescent="0.35">
      <c r="A89" s="15" t="s">
        <v>5</v>
      </c>
      <c r="B89" s="15"/>
      <c r="C89" s="12">
        <v>242243.71</v>
      </c>
      <c r="D89" s="12"/>
      <c r="E89" s="12">
        <v>500981.64</v>
      </c>
      <c r="F89" s="12"/>
      <c r="G89" s="12">
        <v>1323247.81</v>
      </c>
      <c r="H89" s="12"/>
      <c r="I89" s="12">
        <v>1247286.32</v>
      </c>
      <c r="J89" s="12"/>
      <c r="K89" s="12">
        <v>1264076.99</v>
      </c>
      <c r="L89" s="12"/>
      <c r="M89" s="12">
        <v>779529.4</v>
      </c>
      <c r="N89" s="12"/>
      <c r="O89" s="12">
        <v>2041479.96</v>
      </c>
      <c r="P89" s="12"/>
      <c r="Q89" s="12">
        <v>818816.8</v>
      </c>
      <c r="R89" s="12"/>
      <c r="S89" s="12">
        <v>618158.97</v>
      </c>
      <c r="T89" s="12"/>
      <c r="U89" s="12">
        <v>193662.41</v>
      </c>
      <c r="V89" s="12"/>
      <c r="W89" s="12">
        <v>278850.01</v>
      </c>
      <c r="X89" s="12"/>
      <c r="Y89" s="51">
        <v>692648.86</v>
      </c>
      <c r="Z89" s="21"/>
      <c r="AA89" s="12">
        <f t="shared" si="19"/>
        <v>10000982.880000001</v>
      </c>
      <c r="AB89" s="12">
        <f t="shared" si="20"/>
        <v>10019415.33</v>
      </c>
      <c r="AC89" s="13">
        <v>18432.45</v>
      </c>
    </row>
    <row r="90" spans="1:29" x14ac:dyDescent="0.35">
      <c r="A90" s="15" t="s">
        <v>10</v>
      </c>
      <c r="B90" s="15"/>
      <c r="C90" s="12">
        <v>82362.86</v>
      </c>
      <c r="D90" s="12"/>
      <c r="E90" s="12">
        <v>170333.76</v>
      </c>
      <c r="F90" s="12"/>
      <c r="G90" s="12">
        <v>449904.26</v>
      </c>
      <c r="H90" s="12"/>
      <c r="I90" s="12">
        <v>424077.35</v>
      </c>
      <c r="J90" s="12"/>
      <c r="K90" s="12">
        <v>429786.18</v>
      </c>
      <c r="L90" s="12"/>
      <c r="M90" s="12">
        <v>265040</v>
      </c>
      <c r="N90" s="12"/>
      <c r="O90" s="12">
        <v>694103.19</v>
      </c>
      <c r="P90" s="12"/>
      <c r="Q90" s="12">
        <v>278397.71000000002</v>
      </c>
      <c r="R90" s="12"/>
      <c r="S90" s="12">
        <v>210174.05</v>
      </c>
      <c r="T90" s="12"/>
      <c r="U90" s="12">
        <v>65845.22</v>
      </c>
      <c r="V90" s="12"/>
      <c r="W90" s="12">
        <v>94809</v>
      </c>
      <c r="X90" s="12"/>
      <c r="Y90" s="51">
        <v>235500.61</v>
      </c>
      <c r="Z90" s="21"/>
      <c r="AA90" s="12">
        <f t="shared" si="19"/>
        <v>3400334.1899999995</v>
      </c>
      <c r="AB90" s="12">
        <f t="shared" si="20"/>
        <v>3406601.2199999993</v>
      </c>
      <c r="AC90" s="13">
        <v>6267.03</v>
      </c>
    </row>
    <row r="91" spans="1:29" x14ac:dyDescent="0.35">
      <c r="A91" s="17" t="s">
        <v>7</v>
      </c>
      <c r="B91" s="15"/>
      <c r="C91" s="12">
        <v>4844.87</v>
      </c>
      <c r="D91" s="12"/>
      <c r="E91" s="12">
        <v>10019.629999999999</v>
      </c>
      <c r="F91" s="12"/>
      <c r="G91" s="12">
        <v>26464.959999999999</v>
      </c>
      <c r="H91" s="12"/>
      <c r="I91" s="12">
        <v>24945.73</v>
      </c>
      <c r="J91" s="12"/>
      <c r="K91" s="12">
        <v>25281.54</v>
      </c>
      <c r="L91" s="12"/>
      <c r="M91" s="12">
        <v>15590.59</v>
      </c>
      <c r="N91" s="12"/>
      <c r="O91" s="12">
        <v>40829.599999999999</v>
      </c>
      <c r="P91" s="12"/>
      <c r="Q91" s="12">
        <v>16376.34</v>
      </c>
      <c r="R91" s="12"/>
      <c r="S91" s="12">
        <v>12363.18</v>
      </c>
      <c r="T91" s="12"/>
      <c r="U91" s="12">
        <v>3873.25</v>
      </c>
      <c r="V91" s="12"/>
      <c r="W91" s="12">
        <v>5577</v>
      </c>
      <c r="X91" s="12"/>
      <c r="Y91" s="51">
        <v>13852.98</v>
      </c>
      <c r="Z91" s="21"/>
      <c r="AA91" s="12">
        <f t="shared" si="19"/>
        <v>200019.67</v>
      </c>
      <c r="AB91" s="12">
        <f t="shared" si="20"/>
        <v>200388.32</v>
      </c>
      <c r="AC91" s="13">
        <v>368.65</v>
      </c>
    </row>
    <row r="92" spans="1:29" x14ac:dyDescent="0.35">
      <c r="A92" s="17"/>
      <c r="B92" s="15"/>
      <c r="C92" s="12"/>
      <c r="D92" s="12"/>
      <c r="E92" s="12"/>
      <c r="F92" s="12"/>
      <c r="G92" s="12"/>
      <c r="H92" s="12"/>
      <c r="I92" s="12"/>
      <c r="J92" s="12"/>
      <c r="K92" s="12"/>
      <c r="L92" s="12"/>
      <c r="M92" s="12"/>
      <c r="N92" s="12"/>
      <c r="O92" s="12"/>
      <c r="P92" s="12"/>
      <c r="Q92" s="12"/>
      <c r="R92" s="12"/>
      <c r="S92" s="12"/>
      <c r="T92" s="12"/>
      <c r="U92" s="12"/>
      <c r="V92" s="12"/>
      <c r="W92" s="12"/>
      <c r="X92" s="12"/>
      <c r="Y92" s="12"/>
      <c r="Z92" s="21"/>
      <c r="AA92" s="12"/>
      <c r="AB92" s="12"/>
      <c r="AC92" s="13"/>
    </row>
    <row r="93" spans="1:29" x14ac:dyDescent="0.35">
      <c r="A93" s="17"/>
      <c r="B93" s="15"/>
      <c r="C93" s="12"/>
      <c r="D93" s="12"/>
      <c r="E93" s="12"/>
      <c r="F93" s="12"/>
      <c r="G93" s="12"/>
      <c r="H93" s="12"/>
      <c r="I93" s="12"/>
      <c r="J93" s="12"/>
      <c r="K93" s="12"/>
      <c r="L93" s="12"/>
      <c r="M93" s="12"/>
      <c r="N93" s="12"/>
      <c r="O93" s="12"/>
      <c r="P93" s="12"/>
      <c r="Q93" s="12"/>
      <c r="R93" s="12"/>
      <c r="S93" s="12"/>
      <c r="T93" s="12"/>
      <c r="U93" s="12"/>
      <c r="V93" s="12"/>
      <c r="W93" s="12"/>
      <c r="X93" s="12"/>
      <c r="Y93" s="12"/>
      <c r="Z93" s="21"/>
      <c r="AA93" s="12"/>
      <c r="AB93" s="12"/>
      <c r="AC93" s="13"/>
    </row>
    <row r="94" spans="1:29" x14ac:dyDescent="0.35">
      <c r="A94" s="11" t="s">
        <v>12</v>
      </c>
      <c r="B94" s="15"/>
      <c r="C94" s="12"/>
      <c r="D94" s="12"/>
      <c r="E94" s="12"/>
      <c r="F94" s="12"/>
      <c r="G94" s="12"/>
      <c r="H94" s="12"/>
      <c r="I94" s="12"/>
      <c r="J94" s="12"/>
      <c r="K94" s="12"/>
      <c r="L94" s="12"/>
      <c r="M94" s="12"/>
      <c r="N94" s="12"/>
      <c r="O94" s="12"/>
      <c r="P94" s="12"/>
      <c r="Q94" s="12"/>
      <c r="R94" s="12"/>
      <c r="S94" s="12"/>
      <c r="T94" s="12"/>
      <c r="U94" s="12"/>
      <c r="V94" s="12"/>
      <c r="W94" s="12"/>
      <c r="X94" s="12"/>
      <c r="Y94" s="12"/>
      <c r="Z94" s="21"/>
      <c r="AA94" s="12"/>
      <c r="AB94" s="12"/>
      <c r="AC94" s="13"/>
    </row>
    <row r="95" spans="1:29" x14ac:dyDescent="0.35">
      <c r="A95" s="45" t="s">
        <v>1</v>
      </c>
      <c r="B95" s="15"/>
      <c r="C95" s="12"/>
      <c r="D95" s="12"/>
      <c r="E95" s="12"/>
      <c r="F95" s="12"/>
      <c r="G95" s="12"/>
      <c r="H95" s="12"/>
      <c r="I95" s="12"/>
      <c r="J95" s="12"/>
      <c r="K95" s="12"/>
      <c r="L95" s="12"/>
      <c r="M95" s="12"/>
      <c r="N95" s="12"/>
      <c r="O95" s="12"/>
      <c r="P95" s="12"/>
      <c r="Q95" s="12"/>
      <c r="R95" s="12"/>
      <c r="S95" s="12"/>
      <c r="T95" s="12"/>
      <c r="U95" s="12"/>
      <c r="V95" s="12"/>
      <c r="W95" s="12"/>
      <c r="X95" s="12"/>
      <c r="Y95" s="12"/>
      <c r="Z95" s="21"/>
      <c r="AA95" s="12"/>
      <c r="AB95" s="12"/>
      <c r="AC95" s="13"/>
    </row>
    <row r="96" spans="1:29" x14ac:dyDescent="0.35">
      <c r="A96" s="15" t="s">
        <v>2</v>
      </c>
      <c r="B96" s="15"/>
      <c r="C96" s="12">
        <v>1864245</v>
      </c>
      <c r="D96" s="12"/>
      <c r="E96" s="12">
        <v>1997419.59</v>
      </c>
      <c r="F96" s="12"/>
      <c r="G96" s="12">
        <v>2316720.38</v>
      </c>
      <c r="H96" s="12"/>
      <c r="I96" s="12">
        <v>2808683.66</v>
      </c>
      <c r="J96" s="12"/>
      <c r="K96" s="12">
        <v>3620304.25</v>
      </c>
      <c r="L96" s="12"/>
      <c r="M96" s="12">
        <v>3257546.84</v>
      </c>
      <c r="N96" s="12"/>
      <c r="O96" s="12">
        <v>3031264.67</v>
      </c>
      <c r="P96" s="12"/>
      <c r="Q96" s="12">
        <v>2742245.05</v>
      </c>
      <c r="R96" s="12"/>
      <c r="S96" s="12">
        <v>1065911.55</v>
      </c>
      <c r="T96" s="12"/>
      <c r="U96" s="12">
        <v>0</v>
      </c>
      <c r="V96" s="12"/>
      <c r="W96" s="12">
        <v>0</v>
      </c>
      <c r="X96" s="12"/>
      <c r="Y96" s="12">
        <v>0</v>
      </c>
      <c r="Z96" s="21"/>
      <c r="AA96" s="12">
        <f t="shared" ref="AA96:AA101" si="21">SUM(C96:Z96)</f>
        <v>22704340.990000002</v>
      </c>
      <c r="AB96" s="12">
        <f t="shared" ref="AB96:AB101" si="22">AA96+AC96</f>
        <v>37526291.160000004</v>
      </c>
      <c r="AC96" s="13">
        <v>14821950.17</v>
      </c>
    </row>
    <row r="97" spans="1:29" x14ac:dyDescent="0.35">
      <c r="A97" s="15" t="s">
        <v>3</v>
      </c>
      <c r="B97" s="15"/>
      <c r="C97" s="12">
        <v>150074.47</v>
      </c>
      <c r="D97" s="12"/>
      <c r="E97" s="12">
        <v>337680.11</v>
      </c>
      <c r="F97" s="12"/>
      <c r="G97" s="12">
        <v>490153.24</v>
      </c>
      <c r="H97" s="12"/>
      <c r="I97" s="12">
        <v>402272.06</v>
      </c>
      <c r="J97" s="12"/>
      <c r="K97" s="12">
        <v>339310.33</v>
      </c>
      <c r="L97" s="12"/>
      <c r="M97" s="12">
        <v>328651.48</v>
      </c>
      <c r="N97" s="12"/>
      <c r="O97" s="12">
        <v>501514.82</v>
      </c>
      <c r="P97" s="12"/>
      <c r="Q97" s="12">
        <v>181236.11</v>
      </c>
      <c r="R97" s="12"/>
      <c r="S97" s="12">
        <v>87757.26</v>
      </c>
      <c r="T97" s="12"/>
      <c r="U97" s="12">
        <v>0</v>
      </c>
      <c r="V97" s="12"/>
      <c r="W97" s="12">
        <v>0</v>
      </c>
      <c r="X97" s="12"/>
      <c r="Y97" s="12">
        <v>0</v>
      </c>
      <c r="Z97" s="21"/>
      <c r="AA97" s="12">
        <f t="shared" si="21"/>
        <v>2818649.8799999994</v>
      </c>
      <c r="AB97" s="12">
        <f t="shared" si="22"/>
        <v>4492122.209999999</v>
      </c>
      <c r="AC97" s="13">
        <v>1673472.33</v>
      </c>
    </row>
    <row r="98" spans="1:29" x14ac:dyDescent="0.35">
      <c r="A98" s="15" t="s">
        <v>4</v>
      </c>
      <c r="B98" s="15"/>
      <c r="C98" s="12">
        <v>0</v>
      </c>
      <c r="D98" s="12"/>
      <c r="E98" s="12">
        <v>0</v>
      </c>
      <c r="F98" s="12"/>
      <c r="G98" s="12">
        <v>0</v>
      </c>
      <c r="H98" s="12"/>
      <c r="I98" s="12">
        <v>0</v>
      </c>
      <c r="J98" s="12"/>
      <c r="K98" s="12">
        <v>0</v>
      </c>
      <c r="L98" s="12"/>
      <c r="M98" s="12">
        <v>0</v>
      </c>
      <c r="N98" s="12"/>
      <c r="O98" s="12">
        <v>0</v>
      </c>
      <c r="P98" s="12"/>
      <c r="Q98" s="12">
        <v>0</v>
      </c>
      <c r="R98" s="12"/>
      <c r="S98" s="12">
        <v>0</v>
      </c>
      <c r="T98" s="12"/>
      <c r="U98" s="12">
        <v>0</v>
      </c>
      <c r="V98" s="12"/>
      <c r="W98" s="12">
        <v>0</v>
      </c>
      <c r="X98" s="12"/>
      <c r="Y98" s="12">
        <v>0</v>
      </c>
      <c r="Z98" s="21"/>
      <c r="AA98" s="12">
        <f t="shared" si="21"/>
        <v>0</v>
      </c>
      <c r="AB98" s="12">
        <f t="shared" si="22"/>
        <v>0</v>
      </c>
      <c r="AC98" s="13">
        <v>0</v>
      </c>
    </row>
    <row r="99" spans="1:29" x14ac:dyDescent="0.35">
      <c r="A99" s="15" t="s">
        <v>5</v>
      </c>
      <c r="B99" s="15"/>
      <c r="C99" s="12">
        <v>150074.47</v>
      </c>
      <c r="D99" s="12"/>
      <c r="E99" s="12">
        <v>337680.11</v>
      </c>
      <c r="F99" s="12"/>
      <c r="G99" s="12">
        <v>490153.24</v>
      </c>
      <c r="H99" s="12"/>
      <c r="I99" s="12">
        <v>402272.06</v>
      </c>
      <c r="J99" s="12"/>
      <c r="K99" s="12">
        <v>339310.33</v>
      </c>
      <c r="L99" s="12"/>
      <c r="M99" s="12">
        <v>328651.48</v>
      </c>
      <c r="N99" s="12"/>
      <c r="O99" s="12">
        <v>501514.82</v>
      </c>
      <c r="P99" s="12"/>
      <c r="Q99" s="12">
        <v>181236.11</v>
      </c>
      <c r="R99" s="12"/>
      <c r="S99" s="12">
        <v>87757.26</v>
      </c>
      <c r="T99" s="12"/>
      <c r="U99" s="12">
        <v>0</v>
      </c>
      <c r="V99" s="12"/>
      <c r="W99" s="12">
        <v>0</v>
      </c>
      <c r="X99" s="12"/>
      <c r="Y99" s="12">
        <v>0</v>
      </c>
      <c r="Z99" s="21"/>
      <c r="AA99" s="12">
        <f t="shared" si="21"/>
        <v>2818649.8799999994</v>
      </c>
      <c r="AB99" s="12">
        <f t="shared" si="22"/>
        <v>4492122.209999999</v>
      </c>
      <c r="AC99" s="13">
        <v>1673472.33</v>
      </c>
    </row>
    <row r="100" spans="1:29" x14ac:dyDescent="0.35">
      <c r="A100" s="15" t="s">
        <v>6</v>
      </c>
      <c r="B100" s="15"/>
      <c r="C100" s="12">
        <v>51025.32</v>
      </c>
      <c r="D100" s="12"/>
      <c r="E100" s="12">
        <v>114811.24</v>
      </c>
      <c r="F100" s="12"/>
      <c r="G100" s="12">
        <v>166652.1</v>
      </c>
      <c r="H100" s="12"/>
      <c r="I100" s="12">
        <v>136772.5</v>
      </c>
      <c r="J100" s="12"/>
      <c r="K100" s="12">
        <v>115365.51</v>
      </c>
      <c r="L100" s="12"/>
      <c r="M100" s="12">
        <v>111741.5</v>
      </c>
      <c r="N100" s="12"/>
      <c r="O100" s="12">
        <v>170515.04</v>
      </c>
      <c r="P100" s="12"/>
      <c r="Q100" s="12">
        <v>61620.28</v>
      </c>
      <c r="R100" s="12"/>
      <c r="S100" s="12">
        <v>29837.47</v>
      </c>
      <c r="T100" s="12"/>
      <c r="U100" s="12">
        <v>0</v>
      </c>
      <c r="V100" s="12"/>
      <c r="W100" s="12">
        <v>0</v>
      </c>
      <c r="X100" s="12"/>
      <c r="Y100" s="12">
        <v>0</v>
      </c>
      <c r="Z100" s="21"/>
      <c r="AA100" s="12">
        <f t="shared" si="21"/>
        <v>958340.96000000008</v>
      </c>
      <c r="AB100" s="12">
        <f t="shared" si="22"/>
        <v>1527321.54</v>
      </c>
      <c r="AC100" s="13">
        <v>568980.57999999996</v>
      </c>
    </row>
    <row r="101" spans="1:29" x14ac:dyDescent="0.35">
      <c r="A101" s="17" t="s">
        <v>7</v>
      </c>
      <c r="B101" s="15"/>
      <c r="C101" s="12">
        <v>3001.49</v>
      </c>
      <c r="D101" s="12"/>
      <c r="E101" s="12">
        <v>6753.6</v>
      </c>
      <c r="F101" s="12"/>
      <c r="G101" s="12">
        <v>9803.06</v>
      </c>
      <c r="H101" s="12"/>
      <c r="I101" s="12">
        <v>8045.44</v>
      </c>
      <c r="J101" s="12"/>
      <c r="K101" s="12">
        <v>6786.21</v>
      </c>
      <c r="L101" s="12"/>
      <c r="M101" s="12">
        <v>6573.03</v>
      </c>
      <c r="N101" s="12"/>
      <c r="O101" s="12">
        <v>10030.299999999999</v>
      </c>
      <c r="P101" s="12"/>
      <c r="Q101" s="12">
        <v>3624.72</v>
      </c>
      <c r="R101" s="12"/>
      <c r="S101" s="12">
        <v>1755.15</v>
      </c>
      <c r="T101" s="12"/>
      <c r="U101" s="12">
        <v>0</v>
      </c>
      <c r="V101" s="12"/>
      <c r="W101" s="12">
        <v>0</v>
      </c>
      <c r="X101" s="12"/>
      <c r="Y101" s="12">
        <v>0</v>
      </c>
      <c r="Z101" s="21"/>
      <c r="AA101" s="12">
        <f t="shared" si="21"/>
        <v>56373.000000000007</v>
      </c>
      <c r="AB101" s="12">
        <f t="shared" si="22"/>
        <v>89842.450000000012</v>
      </c>
      <c r="AC101" s="13">
        <v>33469.450000000004</v>
      </c>
    </row>
    <row r="102" spans="1:29" x14ac:dyDescent="0.35">
      <c r="A102" s="45" t="s">
        <v>8</v>
      </c>
      <c r="B102" s="15"/>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21"/>
      <c r="AA102" s="12"/>
      <c r="AB102" s="12"/>
      <c r="AC102" s="13"/>
    </row>
    <row r="103" spans="1:29" x14ac:dyDescent="0.35">
      <c r="A103" s="15" t="s">
        <v>2</v>
      </c>
      <c r="B103" s="15"/>
      <c r="C103" s="12">
        <v>1864245</v>
      </c>
      <c r="D103" s="12"/>
      <c r="E103" s="12">
        <v>1997419.59</v>
      </c>
      <c r="F103" s="12"/>
      <c r="G103" s="12">
        <v>2316720.38</v>
      </c>
      <c r="H103" s="12"/>
      <c r="I103" s="12">
        <v>2808683.66</v>
      </c>
      <c r="J103" s="12"/>
      <c r="K103" s="12">
        <v>3620304.25</v>
      </c>
      <c r="L103" s="12"/>
      <c r="M103" s="12">
        <v>3257546.84</v>
      </c>
      <c r="N103" s="12"/>
      <c r="O103" s="12">
        <v>3031264.67</v>
      </c>
      <c r="P103" s="12"/>
      <c r="Q103" s="12">
        <v>2742245.05</v>
      </c>
      <c r="R103" s="12"/>
      <c r="S103" s="12">
        <v>1065911.55</v>
      </c>
      <c r="T103" s="12"/>
      <c r="U103" s="12">
        <v>0</v>
      </c>
      <c r="V103" s="12"/>
      <c r="W103" s="12">
        <v>0</v>
      </c>
      <c r="X103" s="12"/>
      <c r="Y103" s="12">
        <v>0</v>
      </c>
      <c r="Z103" s="21"/>
      <c r="AA103" s="12">
        <f>SUM(C103:Z103)</f>
        <v>22704340.990000002</v>
      </c>
      <c r="AB103" s="12">
        <f t="shared" ref="AB103:AB106" si="23">AA103+AC103</f>
        <v>37526291.160000004</v>
      </c>
      <c r="AC103" s="13">
        <v>14821950.17</v>
      </c>
    </row>
    <row r="104" spans="1:29" x14ac:dyDescent="0.35">
      <c r="A104" s="15" t="s">
        <v>5</v>
      </c>
      <c r="B104" s="15"/>
      <c r="C104" s="12">
        <v>150074.47</v>
      </c>
      <c r="D104" s="12"/>
      <c r="E104" s="12">
        <v>337680.11</v>
      </c>
      <c r="F104" s="12"/>
      <c r="G104" s="12">
        <v>490153.24</v>
      </c>
      <c r="H104" s="12"/>
      <c r="I104" s="12">
        <v>402272.06</v>
      </c>
      <c r="J104" s="12"/>
      <c r="K104" s="12">
        <v>339310.33</v>
      </c>
      <c r="L104" s="12"/>
      <c r="M104" s="12">
        <v>328651.48</v>
      </c>
      <c r="N104" s="12"/>
      <c r="O104" s="12">
        <v>501514.82</v>
      </c>
      <c r="P104" s="12"/>
      <c r="Q104" s="12">
        <v>181236.11</v>
      </c>
      <c r="R104" s="12"/>
      <c r="S104" s="12">
        <v>87757.26</v>
      </c>
      <c r="T104" s="12"/>
      <c r="U104" s="12">
        <v>0</v>
      </c>
      <c r="V104" s="12"/>
      <c r="W104" s="12">
        <v>0</v>
      </c>
      <c r="X104" s="12"/>
      <c r="Y104" s="12">
        <v>0</v>
      </c>
      <c r="Z104" s="21"/>
      <c r="AA104" s="12">
        <f>SUM(C104:Z104)</f>
        <v>2818649.8799999994</v>
      </c>
      <c r="AB104" s="12">
        <f t="shared" si="23"/>
        <v>4492122.209999999</v>
      </c>
      <c r="AC104" s="13">
        <v>1673472.33</v>
      </c>
    </row>
    <row r="105" spans="1:29" x14ac:dyDescent="0.35">
      <c r="A105" s="15" t="s">
        <v>10</v>
      </c>
      <c r="B105" s="15"/>
      <c r="C105" s="12">
        <v>51025.32</v>
      </c>
      <c r="D105" s="12"/>
      <c r="E105" s="12">
        <v>114811.24</v>
      </c>
      <c r="F105" s="12"/>
      <c r="G105" s="12">
        <v>166652.1</v>
      </c>
      <c r="H105" s="12"/>
      <c r="I105" s="12">
        <v>136772.5</v>
      </c>
      <c r="J105" s="12"/>
      <c r="K105" s="12">
        <v>115365.51</v>
      </c>
      <c r="L105" s="12"/>
      <c r="M105" s="12">
        <v>111741.5</v>
      </c>
      <c r="N105" s="12"/>
      <c r="O105" s="12">
        <v>170515.04</v>
      </c>
      <c r="P105" s="12"/>
      <c r="Q105" s="12">
        <v>61620.28</v>
      </c>
      <c r="R105" s="12"/>
      <c r="S105" s="12">
        <v>29837.47</v>
      </c>
      <c r="T105" s="12"/>
      <c r="U105" s="12">
        <v>0</v>
      </c>
      <c r="V105" s="12"/>
      <c r="W105" s="12">
        <v>0</v>
      </c>
      <c r="X105" s="12"/>
      <c r="Y105" s="12">
        <v>0</v>
      </c>
      <c r="Z105" s="21"/>
      <c r="AA105" s="12">
        <f>SUM(C105:Z105)</f>
        <v>958340.96000000008</v>
      </c>
      <c r="AB105" s="12">
        <f t="shared" si="23"/>
        <v>1527321.54</v>
      </c>
      <c r="AC105" s="13">
        <v>568980.57999999996</v>
      </c>
    </row>
    <row r="106" spans="1:29" x14ac:dyDescent="0.35">
      <c r="A106" s="17" t="s">
        <v>7</v>
      </c>
      <c r="B106" s="15"/>
      <c r="C106" s="12">
        <v>3001.49</v>
      </c>
      <c r="D106" s="12"/>
      <c r="E106" s="12">
        <v>6753.6</v>
      </c>
      <c r="F106" s="12"/>
      <c r="G106" s="12">
        <v>9803.06</v>
      </c>
      <c r="H106" s="12"/>
      <c r="I106" s="12">
        <v>8045.44</v>
      </c>
      <c r="J106" s="12"/>
      <c r="K106" s="12">
        <v>6786.21</v>
      </c>
      <c r="L106" s="12"/>
      <c r="M106" s="12">
        <v>6573.03</v>
      </c>
      <c r="N106" s="12"/>
      <c r="O106" s="12">
        <v>10030.299999999999</v>
      </c>
      <c r="P106" s="12"/>
      <c r="Q106" s="12">
        <v>3624.72</v>
      </c>
      <c r="R106" s="12"/>
      <c r="S106" s="12">
        <v>1755.15</v>
      </c>
      <c r="T106" s="12"/>
      <c r="U106" s="12">
        <v>0</v>
      </c>
      <c r="V106" s="12"/>
      <c r="W106" s="12">
        <v>0</v>
      </c>
      <c r="X106" s="12"/>
      <c r="Y106" s="12">
        <v>0</v>
      </c>
      <c r="Z106" s="21"/>
      <c r="AA106" s="12">
        <f>SUM(C106:Z106)</f>
        <v>56373.000000000007</v>
      </c>
      <c r="AB106" s="12">
        <f t="shared" si="23"/>
        <v>89842.450000000012</v>
      </c>
      <c r="AC106" s="13">
        <v>33469.450000000004</v>
      </c>
    </row>
    <row r="107" spans="1:29" x14ac:dyDescent="0.35">
      <c r="A107" s="45" t="s">
        <v>9</v>
      </c>
      <c r="B107" s="15"/>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21"/>
      <c r="AA107" s="12"/>
      <c r="AB107" s="12"/>
      <c r="AC107" s="13"/>
    </row>
    <row r="108" spans="1:29" x14ac:dyDescent="0.35">
      <c r="A108" s="15" t="s">
        <v>2</v>
      </c>
      <c r="B108" s="15"/>
      <c r="C108" s="12">
        <v>0</v>
      </c>
      <c r="D108" s="12"/>
      <c r="E108" s="12">
        <v>0</v>
      </c>
      <c r="F108" s="12"/>
      <c r="G108" s="12">
        <v>0</v>
      </c>
      <c r="H108" s="12"/>
      <c r="I108" s="12">
        <v>0</v>
      </c>
      <c r="J108" s="12"/>
      <c r="K108" s="12">
        <v>0</v>
      </c>
      <c r="L108" s="12"/>
      <c r="M108" s="12">
        <v>0</v>
      </c>
      <c r="N108" s="12"/>
      <c r="O108" s="12">
        <v>0</v>
      </c>
      <c r="P108" s="12"/>
      <c r="Q108" s="12">
        <v>0</v>
      </c>
      <c r="R108" s="12"/>
      <c r="S108" s="12">
        <v>0</v>
      </c>
      <c r="T108" s="12"/>
      <c r="U108" s="12">
        <v>0</v>
      </c>
      <c r="V108" s="12"/>
      <c r="W108" s="12">
        <v>0</v>
      </c>
      <c r="X108" s="12"/>
      <c r="Y108" s="12">
        <v>0</v>
      </c>
      <c r="Z108" s="21"/>
      <c r="AA108" s="12">
        <f t="shared" ref="AA108:AA113" si="24">SUM(C108:Z108)</f>
        <v>0</v>
      </c>
      <c r="AB108" s="12">
        <f t="shared" ref="AB108:AB113" si="25">AA108+AC108</f>
        <v>0</v>
      </c>
      <c r="AC108" s="13">
        <v>0</v>
      </c>
    </row>
    <row r="109" spans="1:29" x14ac:dyDescent="0.35">
      <c r="A109" s="15" t="s">
        <v>3</v>
      </c>
      <c r="B109" s="15"/>
      <c r="C109" s="12">
        <v>0</v>
      </c>
      <c r="D109" s="12"/>
      <c r="E109" s="12">
        <v>0</v>
      </c>
      <c r="F109" s="12"/>
      <c r="G109" s="12">
        <v>0</v>
      </c>
      <c r="H109" s="12"/>
      <c r="I109" s="12">
        <v>0</v>
      </c>
      <c r="J109" s="12"/>
      <c r="K109" s="12">
        <v>0</v>
      </c>
      <c r="L109" s="12"/>
      <c r="M109" s="12">
        <v>0</v>
      </c>
      <c r="N109" s="12"/>
      <c r="O109" s="12">
        <v>0</v>
      </c>
      <c r="P109" s="12"/>
      <c r="Q109" s="12">
        <v>0</v>
      </c>
      <c r="R109" s="12"/>
      <c r="S109" s="12">
        <v>0</v>
      </c>
      <c r="T109" s="12"/>
      <c r="U109" s="12">
        <v>0</v>
      </c>
      <c r="V109" s="12"/>
      <c r="W109" s="12">
        <v>0</v>
      </c>
      <c r="X109" s="12"/>
      <c r="Y109" s="12">
        <v>0</v>
      </c>
      <c r="Z109" s="21"/>
      <c r="AA109" s="12">
        <f t="shared" si="24"/>
        <v>0</v>
      </c>
      <c r="AB109" s="12">
        <f t="shared" si="25"/>
        <v>0</v>
      </c>
      <c r="AC109" s="13">
        <v>0</v>
      </c>
    </row>
    <row r="110" spans="1:29" x14ac:dyDescent="0.35">
      <c r="A110" s="15" t="s">
        <v>4</v>
      </c>
      <c r="B110" s="15"/>
      <c r="C110" s="12">
        <v>0</v>
      </c>
      <c r="D110" s="12"/>
      <c r="E110" s="12">
        <v>0</v>
      </c>
      <c r="F110" s="12"/>
      <c r="G110" s="12">
        <v>0</v>
      </c>
      <c r="H110" s="12"/>
      <c r="I110" s="12">
        <v>0</v>
      </c>
      <c r="J110" s="12"/>
      <c r="K110" s="12">
        <v>0</v>
      </c>
      <c r="L110" s="12"/>
      <c r="M110" s="12">
        <v>0</v>
      </c>
      <c r="N110" s="12"/>
      <c r="O110" s="12">
        <v>0</v>
      </c>
      <c r="P110" s="12"/>
      <c r="Q110" s="12">
        <v>0</v>
      </c>
      <c r="R110" s="12"/>
      <c r="S110" s="12">
        <v>0</v>
      </c>
      <c r="T110" s="12"/>
      <c r="U110" s="12">
        <v>0</v>
      </c>
      <c r="V110" s="12"/>
      <c r="W110" s="12">
        <v>0</v>
      </c>
      <c r="X110" s="12"/>
      <c r="Y110" s="12">
        <v>0</v>
      </c>
      <c r="Z110" s="21"/>
      <c r="AA110" s="12">
        <f t="shared" si="24"/>
        <v>0</v>
      </c>
      <c r="AB110" s="12">
        <f t="shared" si="25"/>
        <v>0</v>
      </c>
      <c r="AC110" s="13">
        <v>0</v>
      </c>
    </row>
    <row r="111" spans="1:29" x14ac:dyDescent="0.35">
      <c r="A111" s="15" t="s">
        <v>5</v>
      </c>
      <c r="B111" s="15"/>
      <c r="C111" s="12">
        <v>0</v>
      </c>
      <c r="D111" s="12"/>
      <c r="E111" s="12">
        <v>0</v>
      </c>
      <c r="F111" s="12"/>
      <c r="G111" s="12">
        <v>0</v>
      </c>
      <c r="H111" s="12"/>
      <c r="I111" s="12">
        <v>0</v>
      </c>
      <c r="J111" s="12"/>
      <c r="K111" s="12">
        <v>0</v>
      </c>
      <c r="L111" s="12"/>
      <c r="M111" s="12">
        <v>0</v>
      </c>
      <c r="N111" s="12"/>
      <c r="O111" s="12">
        <v>0</v>
      </c>
      <c r="P111" s="12"/>
      <c r="Q111" s="12">
        <v>0</v>
      </c>
      <c r="R111" s="12"/>
      <c r="S111" s="12">
        <v>0</v>
      </c>
      <c r="T111" s="12"/>
      <c r="U111" s="12">
        <v>0</v>
      </c>
      <c r="V111" s="12"/>
      <c r="W111" s="12">
        <v>0</v>
      </c>
      <c r="X111" s="12"/>
      <c r="Y111" s="12">
        <v>0</v>
      </c>
      <c r="Z111" s="21"/>
      <c r="AA111" s="12">
        <f t="shared" si="24"/>
        <v>0</v>
      </c>
      <c r="AB111" s="12">
        <f t="shared" si="25"/>
        <v>0</v>
      </c>
      <c r="AC111" s="13">
        <v>0</v>
      </c>
    </row>
    <row r="112" spans="1:29" x14ac:dyDescent="0.35">
      <c r="A112" s="15" t="s">
        <v>10</v>
      </c>
      <c r="B112" s="15"/>
      <c r="C112" s="12">
        <v>0</v>
      </c>
      <c r="D112" s="12"/>
      <c r="E112" s="12">
        <v>0</v>
      </c>
      <c r="F112" s="12"/>
      <c r="G112" s="12">
        <v>0</v>
      </c>
      <c r="H112" s="12"/>
      <c r="I112" s="12">
        <v>0</v>
      </c>
      <c r="J112" s="12"/>
      <c r="K112" s="12">
        <v>0</v>
      </c>
      <c r="L112" s="12"/>
      <c r="M112" s="12">
        <v>0</v>
      </c>
      <c r="N112" s="12"/>
      <c r="O112" s="12">
        <v>0</v>
      </c>
      <c r="P112" s="12"/>
      <c r="Q112" s="12">
        <v>0</v>
      </c>
      <c r="R112" s="12"/>
      <c r="S112" s="12">
        <v>0</v>
      </c>
      <c r="T112" s="12"/>
      <c r="U112" s="12">
        <v>0</v>
      </c>
      <c r="V112" s="12"/>
      <c r="W112" s="12">
        <v>0</v>
      </c>
      <c r="X112" s="12"/>
      <c r="Y112" s="12">
        <v>0</v>
      </c>
      <c r="Z112" s="21"/>
      <c r="AA112" s="12">
        <f t="shared" si="24"/>
        <v>0</v>
      </c>
      <c r="AB112" s="12">
        <f t="shared" si="25"/>
        <v>0</v>
      </c>
      <c r="AC112" s="13">
        <v>0</v>
      </c>
    </row>
    <row r="113" spans="1:29" x14ac:dyDescent="0.35">
      <c r="A113" s="17" t="s">
        <v>7</v>
      </c>
      <c r="B113" s="15"/>
      <c r="C113" s="12">
        <v>0</v>
      </c>
      <c r="D113" s="12"/>
      <c r="E113" s="12">
        <v>0</v>
      </c>
      <c r="F113" s="12"/>
      <c r="G113" s="12">
        <v>0</v>
      </c>
      <c r="H113" s="12"/>
      <c r="I113" s="12">
        <v>0</v>
      </c>
      <c r="J113" s="12"/>
      <c r="K113" s="12">
        <v>0</v>
      </c>
      <c r="L113" s="12"/>
      <c r="M113" s="12">
        <v>0</v>
      </c>
      <c r="N113" s="12"/>
      <c r="O113" s="12">
        <v>0</v>
      </c>
      <c r="P113" s="12"/>
      <c r="Q113" s="12">
        <v>0</v>
      </c>
      <c r="R113" s="12"/>
      <c r="S113" s="12">
        <v>0</v>
      </c>
      <c r="T113" s="12"/>
      <c r="U113" s="12">
        <v>0</v>
      </c>
      <c r="V113" s="12"/>
      <c r="W113" s="12">
        <v>0</v>
      </c>
      <c r="X113" s="12"/>
      <c r="Y113" s="12">
        <v>0</v>
      </c>
      <c r="Z113" s="21"/>
      <c r="AA113" s="12">
        <f t="shared" si="24"/>
        <v>0</v>
      </c>
      <c r="AB113" s="12">
        <f t="shared" si="25"/>
        <v>0</v>
      </c>
      <c r="AC113" s="13">
        <v>0</v>
      </c>
    </row>
    <row r="114" spans="1:29" x14ac:dyDescent="0.35">
      <c r="A114" s="17"/>
      <c r="B114" s="15"/>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21"/>
      <c r="AA114" s="12"/>
      <c r="AB114" s="12"/>
      <c r="AC114" s="13"/>
    </row>
    <row r="115" spans="1:29" x14ac:dyDescent="0.35">
      <c r="B115" s="15"/>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21"/>
      <c r="AA115" s="12"/>
      <c r="AB115" s="12"/>
      <c r="AC115" s="13"/>
    </row>
    <row r="116" spans="1:29" x14ac:dyDescent="0.35">
      <c r="A116" s="11" t="s">
        <v>13</v>
      </c>
      <c r="B116" s="15"/>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21"/>
      <c r="AA116" s="12"/>
      <c r="AB116" s="12"/>
      <c r="AC116" s="13"/>
    </row>
    <row r="117" spans="1:29" x14ac:dyDescent="0.35">
      <c r="A117" s="45" t="s">
        <v>1</v>
      </c>
      <c r="B117" s="15"/>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21"/>
      <c r="AA117" s="12"/>
      <c r="AB117" s="12"/>
      <c r="AC117" s="13"/>
    </row>
    <row r="118" spans="1:29" x14ac:dyDescent="0.35">
      <c r="A118" s="15" t="s">
        <v>2</v>
      </c>
      <c r="B118" s="15"/>
      <c r="C118" s="12">
        <v>1700923</v>
      </c>
      <c r="D118" s="12"/>
      <c r="E118" s="12">
        <v>1879243</v>
      </c>
      <c r="F118" s="12"/>
      <c r="G118" s="12">
        <v>2189454</v>
      </c>
      <c r="H118" s="12"/>
      <c r="I118" s="12">
        <v>2349761.59</v>
      </c>
      <c r="J118" s="12"/>
      <c r="K118" s="12">
        <v>3042467.45</v>
      </c>
      <c r="L118" s="12"/>
      <c r="M118" s="12">
        <v>3003961.68</v>
      </c>
      <c r="N118" s="12"/>
      <c r="O118" s="12">
        <v>2997474.27</v>
      </c>
      <c r="P118" s="12"/>
      <c r="Q118" s="51">
        <v>2911390.73</v>
      </c>
      <c r="R118" s="12"/>
      <c r="S118" s="51">
        <v>1156558.43</v>
      </c>
      <c r="T118" s="12"/>
      <c r="U118" s="51">
        <v>28155.13</v>
      </c>
      <c r="V118" s="12"/>
      <c r="W118" s="12">
        <v>143991.41</v>
      </c>
      <c r="X118" s="12"/>
      <c r="Y118" s="51">
        <v>176787.92</v>
      </c>
      <c r="Z118" s="21"/>
      <c r="AA118" s="51">
        <f t="shared" ref="AA118:AA123" si="26">SUM(C118:Z118)</f>
        <v>21580168.609999999</v>
      </c>
      <c r="AB118" s="51">
        <f>AA118+AC118</f>
        <v>36500609.810000002</v>
      </c>
      <c r="AC118" s="13">
        <v>14920441.199999999</v>
      </c>
    </row>
    <row r="119" spans="1:29" x14ac:dyDescent="0.35">
      <c r="A119" s="15" t="s">
        <v>3</v>
      </c>
      <c r="B119" s="15"/>
      <c r="C119" s="12">
        <v>186573.79</v>
      </c>
      <c r="D119" s="12"/>
      <c r="E119" s="12">
        <v>251296.39</v>
      </c>
      <c r="F119" s="12"/>
      <c r="G119" s="12">
        <v>347872.76</v>
      </c>
      <c r="H119" s="12"/>
      <c r="I119" s="12">
        <v>277295.40000000002</v>
      </c>
      <c r="J119" s="12"/>
      <c r="K119" s="12">
        <v>234355.12</v>
      </c>
      <c r="L119" s="12"/>
      <c r="M119" s="12">
        <v>123798.95</v>
      </c>
      <c r="N119" s="12"/>
      <c r="O119" s="12">
        <v>219597.29</v>
      </c>
      <c r="P119" s="12"/>
      <c r="Q119" s="51">
        <v>-64494.43</v>
      </c>
      <c r="R119" s="12"/>
      <c r="S119" s="51">
        <v>94122.07</v>
      </c>
      <c r="T119" s="12"/>
      <c r="U119" s="51">
        <v>-556.87</v>
      </c>
      <c r="V119" s="12"/>
      <c r="W119" s="12">
        <v>1544.61</v>
      </c>
      <c r="X119" s="12"/>
      <c r="Y119" s="51">
        <v>1032.48</v>
      </c>
      <c r="Z119" s="21"/>
      <c r="AA119" s="51">
        <f t="shared" si="26"/>
        <v>1672437.56</v>
      </c>
      <c r="AB119" s="51">
        <f t="shared" ref="AB119:AB123" si="27">AA119+AC119</f>
        <v>2796214.26</v>
      </c>
      <c r="AC119" s="13">
        <v>1123776.7</v>
      </c>
    </row>
    <row r="120" spans="1:29" x14ac:dyDescent="0.35">
      <c r="A120" s="15" t="s">
        <v>4</v>
      </c>
      <c r="B120" s="15"/>
      <c r="C120" s="12">
        <v>0</v>
      </c>
      <c r="D120" s="12"/>
      <c r="E120" s="12">
        <v>0</v>
      </c>
      <c r="F120" s="12"/>
      <c r="G120" s="12">
        <v>0</v>
      </c>
      <c r="H120" s="12"/>
      <c r="I120" s="12">
        <v>0</v>
      </c>
      <c r="J120" s="12"/>
      <c r="K120" s="12">
        <v>0</v>
      </c>
      <c r="L120" s="12"/>
      <c r="M120" s="12">
        <v>0</v>
      </c>
      <c r="N120" s="12"/>
      <c r="O120" s="12">
        <v>0</v>
      </c>
      <c r="P120" s="12"/>
      <c r="Q120" s="51">
        <v>0</v>
      </c>
      <c r="R120" s="12"/>
      <c r="S120" s="51">
        <v>18141</v>
      </c>
      <c r="T120" s="12"/>
      <c r="U120" s="51">
        <v>0</v>
      </c>
      <c r="V120" s="12"/>
      <c r="W120" s="12">
        <v>0</v>
      </c>
      <c r="X120" s="12"/>
      <c r="Y120" s="51">
        <v>275</v>
      </c>
      <c r="Z120" s="21"/>
      <c r="AA120" s="51">
        <f t="shared" si="26"/>
        <v>18416</v>
      </c>
      <c r="AB120" s="51">
        <f t="shared" si="27"/>
        <v>18416</v>
      </c>
      <c r="AC120" s="13">
        <v>0</v>
      </c>
    </row>
    <row r="121" spans="1:29" x14ac:dyDescent="0.35">
      <c r="A121" s="15" t="s">
        <v>5</v>
      </c>
      <c r="B121" s="15"/>
      <c r="C121" s="12">
        <v>186573.79</v>
      </c>
      <c r="D121" s="12"/>
      <c r="E121" s="12">
        <v>251296.39</v>
      </c>
      <c r="F121" s="12"/>
      <c r="G121" s="12">
        <v>347872.76</v>
      </c>
      <c r="H121" s="12"/>
      <c r="I121" s="12">
        <v>277295.40000000002</v>
      </c>
      <c r="J121" s="12"/>
      <c r="K121" s="12">
        <v>234355.12</v>
      </c>
      <c r="L121" s="12"/>
      <c r="M121" s="12">
        <v>123798.95</v>
      </c>
      <c r="N121" s="12"/>
      <c r="O121" s="12">
        <v>219597.29</v>
      </c>
      <c r="P121" s="12"/>
      <c r="Q121" s="51">
        <v>-64494.43</v>
      </c>
      <c r="R121" s="12"/>
      <c r="S121" s="51">
        <v>75981.070000000007</v>
      </c>
      <c r="T121" s="12"/>
      <c r="U121" s="51">
        <v>-556.87</v>
      </c>
      <c r="V121" s="12"/>
      <c r="W121" s="12">
        <v>1544.61</v>
      </c>
      <c r="X121" s="12"/>
      <c r="Y121" s="51">
        <v>757.48</v>
      </c>
      <c r="Z121" s="21"/>
      <c r="AA121" s="51">
        <f t="shared" si="26"/>
        <v>1654021.56</v>
      </c>
      <c r="AB121" s="51">
        <f t="shared" si="27"/>
        <v>2777798.26</v>
      </c>
      <c r="AC121" s="13">
        <v>1123776.7</v>
      </c>
    </row>
    <row r="122" spans="1:29" x14ac:dyDescent="0.35">
      <c r="A122" s="15" t="s">
        <v>6</v>
      </c>
      <c r="B122" s="15"/>
      <c r="C122" s="12">
        <v>63435.09</v>
      </c>
      <c r="D122" s="12"/>
      <c r="E122" s="12">
        <v>85440.77</v>
      </c>
      <c r="F122" s="12"/>
      <c r="G122" s="12">
        <v>118276.74</v>
      </c>
      <c r="H122" s="12"/>
      <c r="I122" s="12">
        <v>94280.44</v>
      </c>
      <c r="J122" s="12"/>
      <c r="K122" s="12">
        <v>79680.740000000005</v>
      </c>
      <c r="L122" s="12"/>
      <c r="M122" s="12">
        <v>42091.64</v>
      </c>
      <c r="N122" s="12"/>
      <c r="O122" s="12">
        <v>74663.08</v>
      </c>
      <c r="P122" s="12"/>
      <c r="Q122" s="51">
        <v>-21928.11</v>
      </c>
      <c r="R122" s="12"/>
      <c r="S122" s="51">
        <v>25833.57</v>
      </c>
      <c r="T122" s="12"/>
      <c r="U122" s="51">
        <v>-189.34</v>
      </c>
      <c r="V122" s="12"/>
      <c r="W122" s="12">
        <v>525.16999999999996</v>
      </c>
      <c r="X122" s="12"/>
      <c r="Y122" s="51">
        <v>257.54000000000002</v>
      </c>
      <c r="Z122" s="21"/>
      <c r="AA122" s="51">
        <f t="shared" si="26"/>
        <v>562367.33000000007</v>
      </c>
      <c r="AB122" s="51">
        <f t="shared" si="27"/>
        <v>944451.40000000014</v>
      </c>
      <c r="AC122" s="13">
        <v>382084.07</v>
      </c>
    </row>
    <row r="123" spans="1:29" x14ac:dyDescent="0.35">
      <c r="A123" s="17" t="s">
        <v>7</v>
      </c>
      <c r="B123" s="15"/>
      <c r="C123" s="12">
        <v>3731.48</v>
      </c>
      <c r="D123" s="12"/>
      <c r="E123" s="12">
        <v>5025.93</v>
      </c>
      <c r="F123" s="12"/>
      <c r="G123" s="12">
        <v>6957.46</v>
      </c>
      <c r="H123" s="12"/>
      <c r="I123" s="12">
        <v>5545.91</v>
      </c>
      <c r="J123" s="12"/>
      <c r="K123" s="12">
        <v>4687.1000000000004</v>
      </c>
      <c r="L123" s="12"/>
      <c r="M123" s="12">
        <v>2475.98</v>
      </c>
      <c r="N123" s="12"/>
      <c r="O123" s="12">
        <v>4391.95</v>
      </c>
      <c r="P123" s="12"/>
      <c r="Q123" s="51">
        <v>-1289.8900000000001</v>
      </c>
      <c r="R123" s="12"/>
      <c r="S123" s="51">
        <v>1519.62</v>
      </c>
      <c r="T123" s="12"/>
      <c r="U123" s="51">
        <v>-11.14</v>
      </c>
      <c r="V123" s="12"/>
      <c r="W123" s="12">
        <v>30.89</v>
      </c>
      <c r="X123" s="12"/>
      <c r="Y123" s="51">
        <v>15.15</v>
      </c>
      <c r="Z123" s="21"/>
      <c r="AA123" s="51">
        <f t="shared" si="26"/>
        <v>33080.44</v>
      </c>
      <c r="AB123" s="51">
        <f t="shared" si="27"/>
        <v>55555.950000000004</v>
      </c>
      <c r="AC123" s="13">
        <v>22475.510000000002</v>
      </c>
    </row>
    <row r="124" spans="1:29" x14ac:dyDescent="0.35">
      <c r="A124" s="45" t="s">
        <v>8</v>
      </c>
      <c r="B124" s="15"/>
      <c r="C124" s="12"/>
      <c r="D124" s="12"/>
      <c r="E124" s="12"/>
      <c r="F124" s="12"/>
      <c r="G124" s="12"/>
      <c r="H124" s="12"/>
      <c r="I124" s="12"/>
      <c r="J124" s="12"/>
      <c r="K124" s="12"/>
      <c r="L124" s="12"/>
      <c r="M124" s="12"/>
      <c r="N124" s="12"/>
      <c r="O124" s="12"/>
      <c r="P124" s="12"/>
      <c r="Q124" s="51"/>
      <c r="R124" s="12"/>
      <c r="S124" s="51"/>
      <c r="T124" s="12"/>
      <c r="U124" s="51"/>
      <c r="V124" s="12"/>
      <c r="W124" s="12"/>
      <c r="X124" s="12"/>
      <c r="Y124" s="51"/>
      <c r="Z124" s="21"/>
      <c r="AA124" s="51"/>
      <c r="AB124" s="51"/>
      <c r="AC124" s="13"/>
    </row>
    <row r="125" spans="1:29" x14ac:dyDescent="0.35">
      <c r="A125" s="15" t="s">
        <v>2</v>
      </c>
      <c r="B125" s="15"/>
      <c r="C125" s="12">
        <v>1700923</v>
      </c>
      <c r="D125" s="12"/>
      <c r="E125" s="12">
        <v>1879243</v>
      </c>
      <c r="F125" s="12"/>
      <c r="G125" s="12">
        <v>2189454</v>
      </c>
      <c r="H125" s="12"/>
      <c r="I125" s="12">
        <v>2349761.59</v>
      </c>
      <c r="J125" s="12"/>
      <c r="K125" s="12">
        <v>3042467.45</v>
      </c>
      <c r="L125" s="12"/>
      <c r="M125" s="12">
        <v>3003961.68</v>
      </c>
      <c r="N125" s="12"/>
      <c r="O125" s="12">
        <v>2997474.27</v>
      </c>
      <c r="P125" s="12"/>
      <c r="Q125" s="51">
        <v>2911390.73</v>
      </c>
      <c r="R125" s="12"/>
      <c r="S125" s="51">
        <v>1016768.27</v>
      </c>
      <c r="T125" s="12"/>
      <c r="U125" s="51">
        <v>0</v>
      </c>
      <c r="V125" s="12"/>
      <c r="W125" s="12">
        <v>0</v>
      </c>
      <c r="X125" s="12"/>
      <c r="Y125" s="51">
        <v>44129</v>
      </c>
      <c r="Z125" s="21"/>
      <c r="AA125" s="51">
        <f>SUM(C125:Z125)</f>
        <v>21135572.989999998</v>
      </c>
      <c r="AB125" s="51">
        <f t="shared" ref="AB125:AB128" si="28">AA125+AC125</f>
        <v>36056014.189999998</v>
      </c>
      <c r="AC125" s="13">
        <v>14920441.199999999</v>
      </c>
    </row>
    <row r="126" spans="1:29" x14ac:dyDescent="0.35">
      <c r="A126" s="15" t="s">
        <v>5</v>
      </c>
      <c r="B126" s="15"/>
      <c r="C126" s="12">
        <v>186573.79</v>
      </c>
      <c r="D126" s="12"/>
      <c r="E126" s="12">
        <v>251296.39</v>
      </c>
      <c r="F126" s="12"/>
      <c r="G126" s="12">
        <v>347872.76</v>
      </c>
      <c r="H126" s="12"/>
      <c r="I126" s="12">
        <v>277295.40000000002</v>
      </c>
      <c r="J126" s="12"/>
      <c r="K126" s="12">
        <v>234355.12</v>
      </c>
      <c r="L126" s="12"/>
      <c r="M126" s="12">
        <v>123798.95</v>
      </c>
      <c r="N126" s="12"/>
      <c r="O126" s="12">
        <v>219597.29</v>
      </c>
      <c r="P126" s="12"/>
      <c r="Q126" s="51">
        <v>-64494.43</v>
      </c>
      <c r="R126" s="12"/>
      <c r="S126" s="51">
        <v>94055.96</v>
      </c>
      <c r="T126" s="12"/>
      <c r="U126" s="51">
        <v>0</v>
      </c>
      <c r="V126" s="12"/>
      <c r="W126" s="12">
        <v>0</v>
      </c>
      <c r="X126" s="12"/>
      <c r="Y126" s="51">
        <v>781.98</v>
      </c>
      <c r="Z126" s="21"/>
      <c r="AA126" s="51">
        <f>SUM(C126:Z126)</f>
        <v>1671133.21</v>
      </c>
      <c r="AB126" s="51">
        <f t="shared" si="28"/>
        <v>2794909.91</v>
      </c>
      <c r="AC126" s="13">
        <v>1123776.7</v>
      </c>
    </row>
    <row r="127" spans="1:29" x14ac:dyDescent="0.35">
      <c r="A127" s="15" t="s">
        <v>10</v>
      </c>
      <c r="B127" s="15"/>
      <c r="C127" s="12">
        <v>63435.09</v>
      </c>
      <c r="D127" s="12"/>
      <c r="E127" s="12">
        <v>85440.77</v>
      </c>
      <c r="F127" s="12"/>
      <c r="G127" s="12">
        <v>118276.74</v>
      </c>
      <c r="H127" s="12"/>
      <c r="I127" s="12">
        <v>94280.44</v>
      </c>
      <c r="J127" s="12"/>
      <c r="K127" s="12">
        <v>79680.740000000005</v>
      </c>
      <c r="L127" s="12"/>
      <c r="M127" s="12">
        <v>42091.64</v>
      </c>
      <c r="N127" s="12"/>
      <c r="O127" s="12">
        <v>74663.08</v>
      </c>
      <c r="P127" s="12"/>
      <c r="Q127" s="51">
        <v>-21928.11</v>
      </c>
      <c r="R127" s="12"/>
      <c r="S127" s="51">
        <v>31979.03</v>
      </c>
      <c r="T127" s="12"/>
      <c r="U127" s="51">
        <v>0</v>
      </c>
      <c r="V127" s="12"/>
      <c r="W127" s="12">
        <v>0</v>
      </c>
      <c r="X127" s="12"/>
      <c r="Y127" s="51">
        <v>265.87</v>
      </c>
      <c r="Z127" s="21"/>
      <c r="AA127" s="51">
        <f>SUM(C127:Z127)</f>
        <v>568185.29</v>
      </c>
      <c r="AB127" s="51">
        <f t="shared" si="28"/>
        <v>950269.3600000001</v>
      </c>
      <c r="AC127" s="13">
        <v>382084.07</v>
      </c>
    </row>
    <row r="128" spans="1:29" x14ac:dyDescent="0.35">
      <c r="A128" s="17" t="s">
        <v>7</v>
      </c>
      <c r="B128" s="15"/>
      <c r="C128" s="12">
        <v>3731.48</v>
      </c>
      <c r="D128" s="12"/>
      <c r="E128" s="12">
        <v>5025.93</v>
      </c>
      <c r="F128" s="12"/>
      <c r="G128" s="12">
        <v>6957.46</v>
      </c>
      <c r="H128" s="12"/>
      <c r="I128" s="12">
        <v>5545.91</v>
      </c>
      <c r="J128" s="12"/>
      <c r="K128" s="12">
        <v>4687.1000000000004</v>
      </c>
      <c r="L128" s="12"/>
      <c r="M128" s="12">
        <v>2475.98</v>
      </c>
      <c r="N128" s="12"/>
      <c r="O128" s="12">
        <v>4391.95</v>
      </c>
      <c r="P128" s="12"/>
      <c r="Q128" s="51">
        <v>-1289.8900000000001</v>
      </c>
      <c r="R128" s="12"/>
      <c r="S128" s="51">
        <v>1881.12</v>
      </c>
      <c r="T128" s="12"/>
      <c r="U128" s="51">
        <v>0</v>
      </c>
      <c r="V128" s="12"/>
      <c r="W128" s="12">
        <v>0</v>
      </c>
      <c r="X128" s="12"/>
      <c r="Y128" s="51">
        <v>15.64</v>
      </c>
      <c r="Z128" s="21"/>
      <c r="AA128" s="51">
        <f>SUM(C128:Z128)</f>
        <v>33422.68</v>
      </c>
      <c r="AB128" s="51">
        <f t="shared" si="28"/>
        <v>55898.19</v>
      </c>
      <c r="AC128" s="13">
        <v>22475.510000000002</v>
      </c>
    </row>
    <row r="129" spans="1:29" x14ac:dyDescent="0.35">
      <c r="A129" s="45" t="s">
        <v>9</v>
      </c>
      <c r="B129" s="15"/>
      <c r="C129" s="12"/>
      <c r="D129" s="12"/>
      <c r="E129" s="12"/>
      <c r="F129" s="12"/>
      <c r="G129" s="12"/>
      <c r="H129" s="12"/>
      <c r="I129" s="12"/>
      <c r="J129" s="12"/>
      <c r="K129" s="12"/>
      <c r="L129" s="12"/>
      <c r="M129" s="12"/>
      <c r="N129" s="12"/>
      <c r="O129" s="12"/>
      <c r="P129" s="12"/>
      <c r="Q129" s="12"/>
      <c r="R129" s="12"/>
      <c r="S129" s="51"/>
      <c r="T129" s="12"/>
      <c r="U129" s="51"/>
      <c r="V129" s="12"/>
      <c r="W129" s="12"/>
      <c r="X129" s="12"/>
      <c r="Y129" s="51"/>
      <c r="Z129" s="21"/>
      <c r="AA129" s="51"/>
      <c r="AB129" s="51"/>
      <c r="AC129" s="13"/>
    </row>
    <row r="130" spans="1:29" x14ac:dyDescent="0.35">
      <c r="A130" s="15" t="s">
        <v>2</v>
      </c>
      <c r="B130" s="15"/>
      <c r="C130" s="12">
        <v>0</v>
      </c>
      <c r="D130" s="12"/>
      <c r="E130" s="12">
        <v>0</v>
      </c>
      <c r="F130" s="12"/>
      <c r="G130" s="12">
        <v>0</v>
      </c>
      <c r="H130" s="12"/>
      <c r="I130" s="12">
        <v>0</v>
      </c>
      <c r="J130" s="12"/>
      <c r="K130" s="12">
        <v>0</v>
      </c>
      <c r="L130" s="12"/>
      <c r="M130" s="12">
        <v>0</v>
      </c>
      <c r="N130" s="12"/>
      <c r="O130" s="12">
        <v>0</v>
      </c>
      <c r="P130" s="12"/>
      <c r="Q130" s="12">
        <v>0</v>
      </c>
      <c r="R130" s="12"/>
      <c r="S130" s="51">
        <v>139790.16</v>
      </c>
      <c r="T130" s="12"/>
      <c r="U130" s="51">
        <v>28155.13</v>
      </c>
      <c r="V130" s="12"/>
      <c r="W130" s="12">
        <v>143991.41</v>
      </c>
      <c r="X130" s="12"/>
      <c r="Y130" s="51">
        <v>132658.92000000001</v>
      </c>
      <c r="Z130" s="21"/>
      <c r="AA130" s="51">
        <f t="shared" ref="AA130:AA135" si="29">SUM(C130:Z130)</f>
        <v>444595.62</v>
      </c>
      <c r="AB130" s="51">
        <f t="shared" ref="AB130:AB135" si="30">AA130+AC130</f>
        <v>444595.62</v>
      </c>
      <c r="AC130" s="13">
        <v>0</v>
      </c>
    </row>
    <row r="131" spans="1:29" x14ac:dyDescent="0.35">
      <c r="A131" s="15" t="s">
        <v>3</v>
      </c>
      <c r="B131" s="15"/>
      <c r="C131" s="12">
        <v>0</v>
      </c>
      <c r="D131" s="12"/>
      <c r="E131" s="12">
        <v>0</v>
      </c>
      <c r="F131" s="12"/>
      <c r="G131" s="12">
        <v>0</v>
      </c>
      <c r="H131" s="12"/>
      <c r="I131" s="12">
        <v>0</v>
      </c>
      <c r="J131" s="12"/>
      <c r="K131" s="12">
        <v>0</v>
      </c>
      <c r="L131" s="12"/>
      <c r="M131" s="12">
        <v>0</v>
      </c>
      <c r="N131" s="12"/>
      <c r="O131" s="12">
        <v>0</v>
      </c>
      <c r="P131" s="12"/>
      <c r="Q131" s="12">
        <v>0</v>
      </c>
      <c r="R131" s="12"/>
      <c r="S131" s="51">
        <v>66.11</v>
      </c>
      <c r="T131" s="12"/>
      <c r="U131" s="51">
        <v>-556.87</v>
      </c>
      <c r="V131" s="12"/>
      <c r="W131" s="12">
        <v>1544.61</v>
      </c>
      <c r="X131" s="12"/>
      <c r="Y131" s="51">
        <v>250.5</v>
      </c>
      <c r="Z131" s="21"/>
      <c r="AA131" s="51">
        <f t="shared" si="29"/>
        <v>1304.3499999999999</v>
      </c>
      <c r="AB131" s="51">
        <f t="shared" si="30"/>
        <v>1304.3499999999999</v>
      </c>
      <c r="AC131" s="13">
        <v>0</v>
      </c>
    </row>
    <row r="132" spans="1:29" x14ac:dyDescent="0.35">
      <c r="A132" s="15" t="s">
        <v>4</v>
      </c>
      <c r="B132" s="15"/>
      <c r="C132" s="12">
        <v>0</v>
      </c>
      <c r="D132" s="12"/>
      <c r="E132" s="12">
        <v>0</v>
      </c>
      <c r="F132" s="12"/>
      <c r="G132" s="12">
        <v>0</v>
      </c>
      <c r="H132" s="12"/>
      <c r="I132" s="12">
        <v>0</v>
      </c>
      <c r="J132" s="12"/>
      <c r="K132" s="12">
        <v>0</v>
      </c>
      <c r="L132" s="12"/>
      <c r="M132" s="12">
        <v>0</v>
      </c>
      <c r="N132" s="12"/>
      <c r="O132" s="12">
        <v>0</v>
      </c>
      <c r="P132" s="12"/>
      <c r="Q132" s="12">
        <v>0</v>
      </c>
      <c r="R132" s="12"/>
      <c r="S132" s="51">
        <v>18141</v>
      </c>
      <c r="T132" s="12"/>
      <c r="U132" s="51">
        <v>0</v>
      </c>
      <c r="V132" s="12"/>
      <c r="W132" s="12">
        <v>0</v>
      </c>
      <c r="X132" s="12"/>
      <c r="Y132" s="51">
        <v>275</v>
      </c>
      <c r="Z132" s="21"/>
      <c r="AA132" s="51">
        <f t="shared" si="29"/>
        <v>18416</v>
      </c>
      <c r="AB132" s="51">
        <f t="shared" si="30"/>
        <v>18416</v>
      </c>
      <c r="AC132" s="13">
        <v>0</v>
      </c>
    </row>
    <row r="133" spans="1:29" x14ac:dyDescent="0.35">
      <c r="A133" s="15" t="s">
        <v>5</v>
      </c>
      <c r="B133" s="15"/>
      <c r="C133" s="12">
        <v>0</v>
      </c>
      <c r="D133" s="12"/>
      <c r="E133" s="12">
        <v>0</v>
      </c>
      <c r="F133" s="12"/>
      <c r="G133" s="12">
        <v>0</v>
      </c>
      <c r="H133" s="12"/>
      <c r="I133" s="12">
        <v>0</v>
      </c>
      <c r="J133" s="12"/>
      <c r="K133" s="12">
        <v>0</v>
      </c>
      <c r="L133" s="12"/>
      <c r="M133" s="12">
        <v>0</v>
      </c>
      <c r="N133" s="12"/>
      <c r="O133" s="12">
        <v>0</v>
      </c>
      <c r="P133" s="12"/>
      <c r="Q133" s="12">
        <v>0</v>
      </c>
      <c r="R133" s="12"/>
      <c r="S133" s="51">
        <v>-18074.89</v>
      </c>
      <c r="T133" s="12"/>
      <c r="U133" s="51">
        <v>-556.87</v>
      </c>
      <c r="V133" s="12"/>
      <c r="W133" s="12">
        <v>1544.61</v>
      </c>
      <c r="X133" s="12"/>
      <c r="Y133" s="51">
        <v>-24.5</v>
      </c>
      <c r="Z133" s="21"/>
      <c r="AA133" s="51">
        <f t="shared" si="29"/>
        <v>-17111.649999999998</v>
      </c>
      <c r="AB133" s="51">
        <f t="shared" si="30"/>
        <v>-17111.649999999998</v>
      </c>
      <c r="AC133" s="13">
        <v>0</v>
      </c>
    </row>
    <row r="134" spans="1:29" x14ac:dyDescent="0.35">
      <c r="A134" s="15" t="s">
        <v>10</v>
      </c>
      <c r="B134" s="15"/>
      <c r="C134" s="12">
        <v>0</v>
      </c>
      <c r="D134" s="12"/>
      <c r="E134" s="12">
        <v>0</v>
      </c>
      <c r="F134" s="12"/>
      <c r="G134" s="12">
        <v>0</v>
      </c>
      <c r="H134" s="12"/>
      <c r="I134" s="12">
        <v>0</v>
      </c>
      <c r="J134" s="12"/>
      <c r="K134" s="12">
        <v>0</v>
      </c>
      <c r="L134" s="12"/>
      <c r="M134" s="12">
        <v>0</v>
      </c>
      <c r="N134" s="12"/>
      <c r="O134" s="12">
        <v>0</v>
      </c>
      <c r="P134" s="12"/>
      <c r="Q134" s="12">
        <v>0</v>
      </c>
      <c r="R134" s="12"/>
      <c r="S134" s="51">
        <v>-6145.46</v>
      </c>
      <c r="T134" s="12"/>
      <c r="U134" s="51">
        <v>-189.34</v>
      </c>
      <c r="V134" s="12"/>
      <c r="W134" s="12">
        <v>525.16999999999996</v>
      </c>
      <c r="X134" s="12"/>
      <c r="Y134" s="51">
        <v>-8.33</v>
      </c>
      <c r="Z134" s="21"/>
      <c r="AA134" s="51">
        <f t="shared" si="29"/>
        <v>-5817.96</v>
      </c>
      <c r="AB134" s="51">
        <f t="shared" si="30"/>
        <v>-5817.96</v>
      </c>
      <c r="AC134" s="13">
        <v>0</v>
      </c>
    </row>
    <row r="135" spans="1:29" x14ac:dyDescent="0.35">
      <c r="A135" s="17" t="s">
        <v>7</v>
      </c>
      <c r="B135" s="15"/>
      <c r="C135" s="12">
        <v>0</v>
      </c>
      <c r="D135" s="12"/>
      <c r="E135" s="12">
        <v>0</v>
      </c>
      <c r="F135" s="12"/>
      <c r="G135" s="12">
        <v>0</v>
      </c>
      <c r="H135" s="12"/>
      <c r="I135" s="12">
        <v>0</v>
      </c>
      <c r="J135" s="12"/>
      <c r="K135" s="12">
        <v>0</v>
      </c>
      <c r="L135" s="12"/>
      <c r="M135" s="12">
        <v>0</v>
      </c>
      <c r="N135" s="12"/>
      <c r="O135" s="12">
        <v>0</v>
      </c>
      <c r="P135" s="12"/>
      <c r="Q135" s="12">
        <v>0</v>
      </c>
      <c r="R135" s="12"/>
      <c r="S135" s="51">
        <v>-361.5</v>
      </c>
      <c r="T135" s="12"/>
      <c r="U135" s="51">
        <v>-11.14</v>
      </c>
      <c r="V135" s="12"/>
      <c r="W135" s="12">
        <v>30.89</v>
      </c>
      <c r="X135" s="12"/>
      <c r="Y135" s="51">
        <v>-0.49</v>
      </c>
      <c r="Z135" s="21"/>
      <c r="AA135" s="51">
        <f t="shared" si="29"/>
        <v>-342.24</v>
      </c>
      <c r="AB135" s="51">
        <f t="shared" si="30"/>
        <v>-342.24</v>
      </c>
      <c r="AC135" s="13">
        <v>0</v>
      </c>
    </row>
    <row r="136" spans="1:29" x14ac:dyDescent="0.35">
      <c r="A136" s="17"/>
      <c r="B136" s="15"/>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21"/>
      <c r="AA136" s="12"/>
      <c r="AB136" s="12"/>
      <c r="AC136" s="13"/>
    </row>
    <row r="137" spans="1:29" x14ac:dyDescent="0.35">
      <c r="B137" s="15"/>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21"/>
      <c r="AA137" s="12"/>
      <c r="AB137" s="12"/>
      <c r="AC137" s="13"/>
    </row>
    <row r="138" spans="1:29" x14ac:dyDescent="0.35">
      <c r="A138" s="11" t="s">
        <v>14</v>
      </c>
      <c r="B138" s="15"/>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21"/>
      <c r="AA138" s="12"/>
      <c r="AB138" s="12"/>
      <c r="AC138" s="13"/>
    </row>
    <row r="139" spans="1:29" x14ac:dyDescent="0.35">
      <c r="A139" s="47" t="s">
        <v>1</v>
      </c>
      <c r="B139" s="15"/>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21"/>
      <c r="AA139" s="12"/>
      <c r="AB139" s="12"/>
      <c r="AC139" s="13"/>
    </row>
    <row r="140" spans="1:29" x14ac:dyDescent="0.35">
      <c r="A140" s="15" t="s">
        <v>2</v>
      </c>
      <c r="B140" s="15"/>
      <c r="C140" s="12">
        <v>5048106.3099999996</v>
      </c>
      <c r="D140" s="12"/>
      <c r="E140" s="12">
        <v>37822688.450000003</v>
      </c>
      <c r="F140" s="12"/>
      <c r="G140" s="12">
        <v>88546349.510000005</v>
      </c>
      <c r="H140" s="12"/>
      <c r="I140" s="12">
        <v>118042775.34</v>
      </c>
      <c r="J140" s="12"/>
      <c r="K140" s="12">
        <v>152988559.11000001</v>
      </c>
      <c r="L140" s="12"/>
      <c r="M140" s="12">
        <v>158159297.63</v>
      </c>
      <c r="N140" s="12"/>
      <c r="O140" s="12">
        <v>156080598.97</v>
      </c>
      <c r="P140" s="12"/>
      <c r="Q140" s="51">
        <v>140970568.71000001</v>
      </c>
      <c r="R140" s="12"/>
      <c r="S140" s="51">
        <v>54541490.039999999</v>
      </c>
      <c r="T140" s="12"/>
      <c r="U140" s="51">
        <v>19005852.030000001</v>
      </c>
      <c r="V140" s="12"/>
      <c r="W140" s="12">
        <v>29642540.629999999</v>
      </c>
      <c r="X140" s="12"/>
      <c r="Y140" s="51">
        <v>32896629.899999999</v>
      </c>
      <c r="Z140" s="21"/>
      <c r="AA140" s="12">
        <f t="shared" ref="AA140:AA145" si="31">SUM(C140:Z140)</f>
        <v>993745456.63</v>
      </c>
      <c r="AB140" s="12">
        <f t="shared" ref="AB140:AB145" si="32">AA140+AC140</f>
        <v>1003874373.38</v>
      </c>
      <c r="AC140" s="13">
        <v>10128916.75</v>
      </c>
    </row>
    <row r="141" spans="1:29" x14ac:dyDescent="0.35">
      <c r="A141" s="15" t="s">
        <v>3</v>
      </c>
      <c r="B141" s="15"/>
      <c r="C141" s="12">
        <v>422703.30000000005</v>
      </c>
      <c r="D141" s="12"/>
      <c r="E141" s="12">
        <v>3117801.09</v>
      </c>
      <c r="F141" s="12"/>
      <c r="G141" s="12">
        <v>7487901.5899999999</v>
      </c>
      <c r="H141" s="12"/>
      <c r="I141" s="12">
        <v>8217073.2400000002</v>
      </c>
      <c r="J141" s="12"/>
      <c r="K141" s="12">
        <v>9343073.9900000002</v>
      </c>
      <c r="L141" s="12"/>
      <c r="M141" s="12">
        <v>7136771.2699999996</v>
      </c>
      <c r="N141" s="12"/>
      <c r="O141" s="12">
        <v>12299652.99</v>
      </c>
      <c r="P141" s="12"/>
      <c r="Q141" s="51">
        <v>2728487.69</v>
      </c>
      <c r="R141" s="12"/>
      <c r="S141" s="51">
        <v>3122505.81</v>
      </c>
      <c r="T141" s="12"/>
      <c r="U141" s="51">
        <v>1350328.21</v>
      </c>
      <c r="V141" s="12"/>
      <c r="W141" s="12">
        <v>2873833.5</v>
      </c>
      <c r="X141" s="12"/>
      <c r="Y141" s="51">
        <v>3207915.76</v>
      </c>
      <c r="Z141" s="21"/>
      <c r="AA141" s="12">
        <f t="shared" si="31"/>
        <v>61308048.440000005</v>
      </c>
      <c r="AB141" s="12">
        <f t="shared" si="32"/>
        <v>62527763.020000003</v>
      </c>
      <c r="AC141" s="13">
        <v>1219714.58</v>
      </c>
    </row>
    <row r="142" spans="1:29" x14ac:dyDescent="0.35">
      <c r="A142" s="15" t="s">
        <v>4</v>
      </c>
      <c r="B142" s="15"/>
      <c r="C142" s="12">
        <v>120827.13</v>
      </c>
      <c r="D142" s="12"/>
      <c r="E142" s="12">
        <v>900046.78</v>
      </c>
      <c r="F142" s="12"/>
      <c r="G142" s="12">
        <v>2374679.6</v>
      </c>
      <c r="H142" s="12"/>
      <c r="I142" s="12">
        <v>2416148.75</v>
      </c>
      <c r="J142" s="12"/>
      <c r="K142" s="12">
        <v>3512467.95</v>
      </c>
      <c r="L142" s="12"/>
      <c r="M142" s="12">
        <v>3024902.66</v>
      </c>
      <c r="N142" s="12"/>
      <c r="O142" s="12">
        <v>4211767.24</v>
      </c>
      <c r="P142" s="12"/>
      <c r="Q142" s="51">
        <v>2657713.25</v>
      </c>
      <c r="R142" s="12"/>
      <c r="S142" s="51">
        <v>396470.56</v>
      </c>
      <c r="T142" s="12"/>
      <c r="U142" s="51">
        <v>82965.53</v>
      </c>
      <c r="V142" s="12"/>
      <c r="W142" s="12">
        <v>366549.16</v>
      </c>
      <c r="X142" s="12"/>
      <c r="Y142" s="51">
        <v>362581.38</v>
      </c>
      <c r="Z142" s="21"/>
      <c r="AA142" s="12">
        <f t="shared" si="31"/>
        <v>20427119.989999998</v>
      </c>
      <c r="AB142" s="12">
        <f t="shared" si="32"/>
        <v>20427119.989999998</v>
      </c>
      <c r="AC142" s="13">
        <v>0</v>
      </c>
    </row>
    <row r="143" spans="1:29" x14ac:dyDescent="0.35">
      <c r="A143" s="15" t="s">
        <v>5</v>
      </c>
      <c r="B143" s="15"/>
      <c r="C143" s="12">
        <v>301876.17000000004</v>
      </c>
      <c r="D143" s="12"/>
      <c r="E143" s="12">
        <v>2217754.31</v>
      </c>
      <c r="F143" s="12"/>
      <c r="G143" s="12">
        <v>5113221.99</v>
      </c>
      <c r="H143" s="12"/>
      <c r="I143" s="12">
        <v>5800924.4900000002</v>
      </c>
      <c r="J143" s="12"/>
      <c r="K143" s="12">
        <v>5830606.04</v>
      </c>
      <c r="L143" s="12"/>
      <c r="M143" s="12">
        <v>4111868.61</v>
      </c>
      <c r="N143" s="12"/>
      <c r="O143" s="12">
        <v>8087885.75</v>
      </c>
      <c r="P143" s="12"/>
      <c r="Q143" s="51">
        <v>70774.44</v>
      </c>
      <c r="R143" s="12"/>
      <c r="S143" s="51">
        <v>2726035.25</v>
      </c>
      <c r="T143" s="12"/>
      <c r="U143" s="51">
        <v>1267362.68</v>
      </c>
      <c r="V143" s="12"/>
      <c r="W143" s="12">
        <v>2507284.34</v>
      </c>
      <c r="X143" s="12"/>
      <c r="Y143" s="51">
        <v>2845334.38</v>
      </c>
      <c r="Z143" s="21"/>
      <c r="AA143" s="12">
        <f t="shared" si="31"/>
        <v>40880928.449999996</v>
      </c>
      <c r="AB143" s="12">
        <f t="shared" si="32"/>
        <v>42100643.029999994</v>
      </c>
      <c r="AC143" s="13">
        <v>1219714.58</v>
      </c>
    </row>
    <row r="144" spans="1:29" x14ac:dyDescent="0.35">
      <c r="A144" s="15" t="s">
        <v>6</v>
      </c>
      <c r="B144" s="15"/>
      <c r="C144" s="12">
        <v>102637.9</v>
      </c>
      <c r="D144" s="12"/>
      <c r="E144" s="12">
        <v>754036.46</v>
      </c>
      <c r="F144" s="12"/>
      <c r="G144" s="12">
        <v>1738495.48</v>
      </c>
      <c r="H144" s="12"/>
      <c r="I144" s="12">
        <v>1972314.33</v>
      </c>
      <c r="J144" s="12"/>
      <c r="K144" s="12">
        <v>1982406.05</v>
      </c>
      <c r="L144" s="12"/>
      <c r="M144" s="12">
        <v>1398035.33</v>
      </c>
      <c r="N144" s="12"/>
      <c r="O144" s="12">
        <v>2749881.1599999997</v>
      </c>
      <c r="P144" s="12"/>
      <c r="Q144" s="51">
        <v>24063.31</v>
      </c>
      <c r="R144" s="12"/>
      <c r="S144" s="51">
        <v>926851.98</v>
      </c>
      <c r="T144" s="12"/>
      <c r="U144" s="51">
        <v>430903.31</v>
      </c>
      <c r="V144" s="12"/>
      <c r="W144" s="12">
        <v>852476.68</v>
      </c>
      <c r="X144" s="12"/>
      <c r="Y144" s="51">
        <v>967413.69</v>
      </c>
      <c r="Z144" s="21"/>
      <c r="AA144" s="12">
        <f t="shared" si="31"/>
        <v>13899515.68</v>
      </c>
      <c r="AB144" s="12">
        <f t="shared" si="32"/>
        <v>14314218.65</v>
      </c>
      <c r="AC144" s="13">
        <v>414702.97</v>
      </c>
    </row>
    <row r="145" spans="1:29" x14ac:dyDescent="0.35">
      <c r="A145" s="17" t="s">
        <v>7</v>
      </c>
      <c r="B145" s="15"/>
      <c r="C145" s="12">
        <v>6037.52</v>
      </c>
      <c r="D145" s="12"/>
      <c r="E145" s="12">
        <v>44355.08</v>
      </c>
      <c r="F145" s="12"/>
      <c r="G145" s="12">
        <v>102264.44</v>
      </c>
      <c r="H145" s="12"/>
      <c r="I145" s="12">
        <v>116018.49</v>
      </c>
      <c r="J145" s="12"/>
      <c r="K145" s="12">
        <v>116612.12</v>
      </c>
      <c r="L145" s="12"/>
      <c r="M145" s="12">
        <v>82237.37999999999</v>
      </c>
      <c r="N145" s="12"/>
      <c r="O145" s="12">
        <v>161757.72</v>
      </c>
      <c r="P145" s="12"/>
      <c r="Q145" s="51">
        <v>1415.49</v>
      </c>
      <c r="R145" s="12"/>
      <c r="S145" s="51">
        <v>54520.700000000004</v>
      </c>
      <c r="T145" s="12"/>
      <c r="U145" s="51">
        <v>25347.25</v>
      </c>
      <c r="V145" s="12"/>
      <c r="W145" s="12">
        <v>50145.69</v>
      </c>
      <c r="X145" s="12"/>
      <c r="Y145" s="51">
        <v>56906.69</v>
      </c>
      <c r="Z145" s="21"/>
      <c r="AA145" s="12">
        <f t="shared" si="31"/>
        <v>817618.56999999983</v>
      </c>
      <c r="AB145" s="12">
        <f t="shared" si="32"/>
        <v>842012.86999999988</v>
      </c>
      <c r="AC145" s="13">
        <v>24394.3</v>
      </c>
    </row>
    <row r="146" spans="1:29" x14ac:dyDescent="0.35">
      <c r="A146" s="45" t="s">
        <v>8</v>
      </c>
      <c r="B146" s="15"/>
      <c r="C146" s="12"/>
      <c r="D146" s="12"/>
      <c r="E146" s="12"/>
      <c r="F146" s="12"/>
      <c r="G146" s="12"/>
      <c r="H146" s="12"/>
      <c r="I146" s="12"/>
      <c r="J146" s="12"/>
      <c r="K146" s="12"/>
      <c r="L146" s="12"/>
      <c r="M146" s="12"/>
      <c r="N146" s="12"/>
      <c r="O146" s="12"/>
      <c r="P146" s="12"/>
      <c r="Q146" s="51"/>
      <c r="R146" s="12"/>
      <c r="S146" s="51"/>
      <c r="T146" s="12"/>
      <c r="U146" s="51"/>
      <c r="V146" s="12"/>
      <c r="W146" s="12"/>
      <c r="X146" s="12"/>
      <c r="Y146" s="51"/>
      <c r="Z146" s="21"/>
      <c r="AA146" s="12"/>
      <c r="AB146" s="12"/>
      <c r="AC146" s="13"/>
    </row>
    <row r="147" spans="1:29" x14ac:dyDescent="0.35">
      <c r="A147" s="15" t="s">
        <v>2</v>
      </c>
      <c r="B147" s="15"/>
      <c r="C147" s="12">
        <v>1788266.14</v>
      </c>
      <c r="D147" s="12"/>
      <c r="E147" s="12">
        <v>2543007.0699999998</v>
      </c>
      <c r="F147" s="12"/>
      <c r="G147" s="12">
        <v>3418037.9</v>
      </c>
      <c r="H147" s="12"/>
      <c r="I147" s="12">
        <v>4107209.9</v>
      </c>
      <c r="J147" s="12"/>
      <c r="K147" s="12">
        <v>3244317.75</v>
      </c>
      <c r="L147" s="12"/>
      <c r="M147" s="12">
        <v>3611559</v>
      </c>
      <c r="N147" s="12"/>
      <c r="O147" s="12">
        <v>2932283.5</v>
      </c>
      <c r="P147" s="12"/>
      <c r="Q147" s="51">
        <v>2510136.25</v>
      </c>
      <c r="R147" s="12"/>
      <c r="S147" s="51">
        <v>859503.75</v>
      </c>
      <c r="T147" s="12"/>
      <c r="U147" s="51">
        <v>0</v>
      </c>
      <c r="V147" s="12"/>
      <c r="W147" s="12">
        <v>0</v>
      </c>
      <c r="X147" s="12"/>
      <c r="Y147" s="51">
        <v>25866.25</v>
      </c>
      <c r="Z147" s="21"/>
      <c r="AA147" s="12">
        <f>SUM(C147:Z147)</f>
        <v>25040187.509999998</v>
      </c>
      <c r="AB147" s="12">
        <f t="shared" ref="AB147:AB150" si="33">AA147+AC147</f>
        <v>35169104.259999998</v>
      </c>
      <c r="AC147" s="13">
        <v>10128916.75</v>
      </c>
    </row>
    <row r="148" spans="1:29" x14ac:dyDescent="0.35">
      <c r="A148" s="15" t="s">
        <v>5</v>
      </c>
      <c r="B148" s="15"/>
      <c r="C148" s="12">
        <v>168146.14</v>
      </c>
      <c r="D148" s="12"/>
      <c r="E148" s="12">
        <v>175330.07</v>
      </c>
      <c r="F148" s="12"/>
      <c r="G148" s="12">
        <v>376242.52</v>
      </c>
      <c r="H148" s="12"/>
      <c r="I148" s="12">
        <v>155730.4</v>
      </c>
      <c r="J148" s="12"/>
      <c r="K148" s="12">
        <v>192491.5</v>
      </c>
      <c r="L148" s="12"/>
      <c r="M148" s="12">
        <v>107144.75</v>
      </c>
      <c r="N148" s="12"/>
      <c r="O148" s="12">
        <v>391011.9</v>
      </c>
      <c r="P148" s="12"/>
      <c r="Q148" s="51">
        <v>-75305.5</v>
      </c>
      <c r="R148" s="12"/>
      <c r="S148" s="51">
        <v>-40279.75</v>
      </c>
      <c r="T148" s="12"/>
      <c r="U148" s="51">
        <v>-245.25</v>
      </c>
      <c r="V148" s="12"/>
      <c r="W148" s="12">
        <v>0</v>
      </c>
      <c r="X148" s="12"/>
      <c r="Y148" s="51">
        <v>-25607</v>
      </c>
      <c r="Z148" s="21"/>
      <c r="AA148" s="12">
        <f>SUM(C148:Z148)</f>
        <v>1424659.7799999998</v>
      </c>
      <c r="AB148" s="12">
        <f t="shared" si="33"/>
        <v>2644374.36</v>
      </c>
      <c r="AC148" s="13">
        <v>1219714.58</v>
      </c>
    </row>
    <row r="149" spans="1:29" x14ac:dyDescent="0.35">
      <c r="A149" s="15" t="s">
        <v>10</v>
      </c>
      <c r="B149" s="15"/>
      <c r="C149" s="12">
        <v>57169.69</v>
      </c>
      <c r="D149" s="12"/>
      <c r="E149" s="12">
        <v>59612.22</v>
      </c>
      <c r="F149" s="12"/>
      <c r="G149" s="12">
        <v>127922.46</v>
      </c>
      <c r="H149" s="12"/>
      <c r="I149" s="12">
        <v>52948.34</v>
      </c>
      <c r="J149" s="12"/>
      <c r="K149" s="12">
        <v>65447.11</v>
      </c>
      <c r="L149" s="12"/>
      <c r="M149" s="12">
        <v>36429.22</v>
      </c>
      <c r="N149" s="12"/>
      <c r="O149" s="12">
        <v>132944.04999999999</v>
      </c>
      <c r="P149" s="12"/>
      <c r="Q149" s="51">
        <v>-25603.87</v>
      </c>
      <c r="R149" s="12"/>
      <c r="S149" s="51">
        <v>-13695.12</v>
      </c>
      <c r="T149" s="12"/>
      <c r="U149" s="51">
        <v>-83.39</v>
      </c>
      <c r="V149" s="12"/>
      <c r="W149" s="12">
        <v>0</v>
      </c>
      <c r="X149" s="12"/>
      <c r="Y149" s="51">
        <v>-8706.3799999999992</v>
      </c>
      <c r="Z149" s="21"/>
      <c r="AA149" s="12">
        <f>SUM(C149:Z149)</f>
        <v>484384.32999999984</v>
      </c>
      <c r="AB149" s="12">
        <f t="shared" si="33"/>
        <v>899087.29999999981</v>
      </c>
      <c r="AC149" s="13">
        <v>414702.97</v>
      </c>
    </row>
    <row r="150" spans="1:29" x14ac:dyDescent="0.35">
      <c r="A150" s="17" t="s">
        <v>7</v>
      </c>
      <c r="B150" s="15"/>
      <c r="C150" s="12">
        <v>3362.92</v>
      </c>
      <c r="D150" s="12"/>
      <c r="E150" s="12">
        <v>3506.6</v>
      </c>
      <c r="F150" s="12"/>
      <c r="G150" s="12">
        <v>7524.85</v>
      </c>
      <c r="H150" s="12"/>
      <c r="I150" s="12">
        <v>3114.61</v>
      </c>
      <c r="J150" s="12"/>
      <c r="K150" s="12">
        <v>3849.83</v>
      </c>
      <c r="L150" s="12"/>
      <c r="M150" s="12">
        <v>2142.9</v>
      </c>
      <c r="N150" s="12"/>
      <c r="O150" s="12">
        <v>7820.24</v>
      </c>
      <c r="P150" s="12"/>
      <c r="Q150" s="51">
        <v>-1506.11</v>
      </c>
      <c r="R150" s="12"/>
      <c r="S150" s="51">
        <v>-805.6</v>
      </c>
      <c r="T150" s="12"/>
      <c r="U150" s="51">
        <v>-4.91</v>
      </c>
      <c r="V150" s="12"/>
      <c r="W150" s="12">
        <v>0</v>
      </c>
      <c r="X150" s="12"/>
      <c r="Y150" s="51">
        <v>-512.14</v>
      </c>
      <c r="Z150" s="21"/>
      <c r="AA150" s="12">
        <f>SUM(C150:Z150)</f>
        <v>28493.19</v>
      </c>
      <c r="AB150" s="12">
        <f t="shared" si="33"/>
        <v>52887.49</v>
      </c>
      <c r="AC150" s="13">
        <v>24394.3</v>
      </c>
    </row>
    <row r="151" spans="1:29" x14ac:dyDescent="0.35">
      <c r="A151" s="45" t="s">
        <v>9</v>
      </c>
      <c r="B151" s="15"/>
      <c r="C151" s="12"/>
      <c r="D151" s="12"/>
      <c r="E151" s="12"/>
      <c r="F151" s="12"/>
      <c r="G151" s="12"/>
      <c r="H151" s="12"/>
      <c r="I151" s="12"/>
      <c r="J151" s="12"/>
      <c r="K151" s="12"/>
      <c r="L151" s="12"/>
      <c r="M151" s="12"/>
      <c r="N151" s="12"/>
      <c r="O151" s="12"/>
      <c r="P151" s="12"/>
      <c r="Q151" s="51"/>
      <c r="R151" s="12"/>
      <c r="S151" s="51"/>
      <c r="T151" s="12"/>
      <c r="U151" s="51"/>
      <c r="V151" s="12"/>
      <c r="W151" s="12"/>
      <c r="X151" s="12"/>
      <c r="Y151" s="51"/>
      <c r="Z151" s="21"/>
      <c r="AA151" s="12"/>
      <c r="AB151" s="12"/>
      <c r="AC151" s="13"/>
    </row>
    <row r="152" spans="1:29" x14ac:dyDescent="0.35">
      <c r="A152" s="15" t="s">
        <v>2</v>
      </c>
      <c r="B152" s="15"/>
      <c r="C152" s="12">
        <v>3259840.17</v>
      </c>
      <c r="D152" s="12"/>
      <c r="E152" s="12">
        <v>35279681.380000003</v>
      </c>
      <c r="F152" s="12"/>
      <c r="G152" s="12">
        <v>85128311.609999999</v>
      </c>
      <c r="H152" s="12"/>
      <c r="I152" s="12">
        <v>113935565.44</v>
      </c>
      <c r="J152" s="12"/>
      <c r="K152" s="12">
        <v>149744241.36000001</v>
      </c>
      <c r="L152" s="12"/>
      <c r="M152" s="12">
        <v>154547738.63</v>
      </c>
      <c r="N152" s="12"/>
      <c r="O152" s="12">
        <v>153148315.47</v>
      </c>
      <c r="P152" s="12"/>
      <c r="Q152" s="51">
        <v>138460432.46000001</v>
      </c>
      <c r="R152" s="12"/>
      <c r="S152" s="51">
        <v>53681986.289999999</v>
      </c>
      <c r="T152" s="12"/>
      <c r="U152" s="51">
        <v>19005852.030000001</v>
      </c>
      <c r="V152" s="12"/>
      <c r="W152" s="12">
        <v>29642540.629999999</v>
      </c>
      <c r="X152" s="12"/>
      <c r="Y152" s="51">
        <v>32870763.649999999</v>
      </c>
      <c r="Z152" s="21"/>
      <c r="AA152" s="12">
        <f t="shared" ref="AA152:AA157" si="34">SUM(C152:Z152)</f>
        <v>968705269.12</v>
      </c>
      <c r="AB152" s="12">
        <f t="shared" ref="AB152:AB157" si="35">AA152+AC152</f>
        <v>968705269.12</v>
      </c>
      <c r="AC152" s="13">
        <v>0</v>
      </c>
    </row>
    <row r="153" spans="1:29" x14ac:dyDescent="0.35">
      <c r="A153" s="15" t="s">
        <v>3</v>
      </c>
      <c r="B153" s="15"/>
      <c r="C153" s="12">
        <v>254557.16</v>
      </c>
      <c r="D153" s="12"/>
      <c r="E153" s="12">
        <v>2942471.02</v>
      </c>
      <c r="F153" s="12"/>
      <c r="G153" s="12">
        <v>7111659.0700000003</v>
      </c>
      <c r="H153" s="12"/>
      <c r="I153" s="12">
        <v>8061342.8399999999</v>
      </c>
      <c r="J153" s="12"/>
      <c r="K153" s="12">
        <v>9150582.4900000002</v>
      </c>
      <c r="L153" s="12"/>
      <c r="M153" s="12">
        <v>7029626.5199999996</v>
      </c>
      <c r="N153" s="12"/>
      <c r="O153" s="12">
        <v>11908641.09</v>
      </c>
      <c r="P153" s="12"/>
      <c r="Q153" s="51">
        <v>2803793.19</v>
      </c>
      <c r="R153" s="12"/>
      <c r="S153" s="51">
        <v>3162785.56</v>
      </c>
      <c r="T153" s="12"/>
      <c r="U153" s="51">
        <v>1350573.46</v>
      </c>
      <c r="V153" s="12"/>
      <c r="W153" s="12">
        <v>2873833.5</v>
      </c>
      <c r="X153" s="12"/>
      <c r="Y153" s="51">
        <v>3233522.76</v>
      </c>
      <c r="Z153" s="21"/>
      <c r="AA153" s="12">
        <f t="shared" si="34"/>
        <v>59883388.659999996</v>
      </c>
      <c r="AB153" s="12">
        <f t="shared" si="35"/>
        <v>59883388.659999996</v>
      </c>
      <c r="AC153" s="13">
        <v>0</v>
      </c>
    </row>
    <row r="154" spans="1:29" x14ac:dyDescent="0.35">
      <c r="A154" s="15" t="s">
        <v>4</v>
      </c>
      <c r="B154" s="15"/>
      <c r="C154" s="12">
        <v>120827.13</v>
      </c>
      <c r="D154" s="12"/>
      <c r="E154" s="12">
        <v>900046.78</v>
      </c>
      <c r="F154" s="12"/>
      <c r="G154" s="12">
        <v>2374679.6</v>
      </c>
      <c r="H154" s="12"/>
      <c r="I154" s="12">
        <v>2416148.75</v>
      </c>
      <c r="J154" s="12"/>
      <c r="K154" s="12">
        <v>3512467.95</v>
      </c>
      <c r="L154" s="12"/>
      <c r="M154" s="12">
        <v>3024902.66</v>
      </c>
      <c r="N154" s="12"/>
      <c r="O154" s="12">
        <v>4211767.24</v>
      </c>
      <c r="P154" s="12"/>
      <c r="Q154" s="51">
        <v>2657713.25</v>
      </c>
      <c r="R154" s="12"/>
      <c r="S154" s="51">
        <v>396470.56</v>
      </c>
      <c r="T154" s="12"/>
      <c r="U154" s="51">
        <v>82965.53</v>
      </c>
      <c r="V154" s="12"/>
      <c r="W154" s="12">
        <v>366549.16</v>
      </c>
      <c r="X154" s="12"/>
      <c r="Y154" s="51">
        <v>362581.38</v>
      </c>
      <c r="Z154" s="21"/>
      <c r="AA154" s="12">
        <f t="shared" si="34"/>
        <v>20427119.989999998</v>
      </c>
      <c r="AB154" s="12">
        <f t="shared" si="35"/>
        <v>20427119.989999998</v>
      </c>
      <c r="AC154" s="13">
        <v>0</v>
      </c>
    </row>
    <row r="155" spans="1:29" x14ac:dyDescent="0.35">
      <c r="A155" s="15" t="s">
        <v>5</v>
      </c>
      <c r="B155" s="15"/>
      <c r="C155" s="12">
        <v>133730.03</v>
      </c>
      <c r="D155" s="12"/>
      <c r="E155" s="12">
        <v>2042424.24</v>
      </c>
      <c r="F155" s="12"/>
      <c r="G155" s="12">
        <v>4736979.47</v>
      </c>
      <c r="H155" s="12"/>
      <c r="I155" s="12">
        <v>5645194.0899999999</v>
      </c>
      <c r="J155" s="12"/>
      <c r="K155" s="12">
        <v>5638114.54</v>
      </c>
      <c r="L155" s="12"/>
      <c r="M155" s="12">
        <v>4004723.86</v>
      </c>
      <c r="N155" s="12"/>
      <c r="O155" s="12">
        <v>7696873.8499999996</v>
      </c>
      <c r="P155" s="12"/>
      <c r="Q155" s="51">
        <v>146079.94</v>
      </c>
      <c r="R155" s="12"/>
      <c r="S155" s="51">
        <v>2766315</v>
      </c>
      <c r="T155" s="12"/>
      <c r="U155" s="51">
        <v>1267607.93</v>
      </c>
      <c r="V155" s="12"/>
      <c r="W155" s="12">
        <v>2507284.34</v>
      </c>
      <c r="X155" s="12"/>
      <c r="Y155" s="51">
        <v>2870941.38</v>
      </c>
      <c r="Z155" s="21"/>
      <c r="AA155" s="12">
        <f t="shared" si="34"/>
        <v>39456268.670000009</v>
      </c>
      <c r="AB155" s="12">
        <f t="shared" si="35"/>
        <v>39456268.670000009</v>
      </c>
      <c r="AC155" s="13">
        <v>0</v>
      </c>
    </row>
    <row r="156" spans="1:29" x14ac:dyDescent="0.35">
      <c r="A156" s="15" t="s">
        <v>10</v>
      </c>
      <c r="B156" s="15"/>
      <c r="C156" s="12">
        <v>45468.21</v>
      </c>
      <c r="D156" s="12"/>
      <c r="E156" s="12">
        <v>694424.24</v>
      </c>
      <c r="F156" s="12"/>
      <c r="G156" s="12">
        <v>1610573.02</v>
      </c>
      <c r="H156" s="12"/>
      <c r="I156" s="12">
        <v>1919365.99</v>
      </c>
      <c r="J156" s="12"/>
      <c r="K156" s="12">
        <v>1916958.94</v>
      </c>
      <c r="L156" s="12"/>
      <c r="M156" s="12">
        <v>1361606.11</v>
      </c>
      <c r="N156" s="12"/>
      <c r="O156" s="12">
        <v>2616937.11</v>
      </c>
      <c r="P156" s="12"/>
      <c r="Q156" s="51">
        <v>49667.18</v>
      </c>
      <c r="R156" s="12"/>
      <c r="S156" s="51">
        <v>940547.1</v>
      </c>
      <c r="T156" s="12"/>
      <c r="U156" s="51">
        <v>430986.7</v>
      </c>
      <c r="V156" s="12"/>
      <c r="W156" s="12">
        <v>852476.68</v>
      </c>
      <c r="X156" s="12"/>
      <c r="Y156" s="51">
        <v>976120.07</v>
      </c>
      <c r="Z156" s="21"/>
      <c r="AA156" s="12">
        <f t="shared" si="34"/>
        <v>13415131.35</v>
      </c>
      <c r="AB156" s="12">
        <f t="shared" si="35"/>
        <v>13415131.35</v>
      </c>
      <c r="AC156" s="13">
        <v>0</v>
      </c>
    </row>
    <row r="157" spans="1:29" x14ac:dyDescent="0.35">
      <c r="A157" s="17" t="s">
        <v>7</v>
      </c>
      <c r="B157" s="15"/>
      <c r="C157" s="12">
        <v>2674.6</v>
      </c>
      <c r="D157" s="12"/>
      <c r="E157" s="12">
        <v>40848.480000000003</v>
      </c>
      <c r="F157" s="12"/>
      <c r="G157" s="12">
        <v>94739.59</v>
      </c>
      <c r="H157" s="12"/>
      <c r="I157" s="12">
        <v>112903.88</v>
      </c>
      <c r="J157" s="12"/>
      <c r="K157" s="12">
        <v>112762.29</v>
      </c>
      <c r="L157" s="12"/>
      <c r="M157" s="12">
        <v>80094.48</v>
      </c>
      <c r="N157" s="12"/>
      <c r="O157" s="12">
        <v>153937.48000000001</v>
      </c>
      <c r="P157" s="12"/>
      <c r="Q157" s="51">
        <v>2921.6</v>
      </c>
      <c r="R157" s="12"/>
      <c r="S157" s="51">
        <v>55326.3</v>
      </c>
      <c r="T157" s="12"/>
      <c r="U157" s="51">
        <v>25352.16</v>
      </c>
      <c r="V157" s="12"/>
      <c r="W157" s="12">
        <v>50145.69</v>
      </c>
      <c r="X157" s="12"/>
      <c r="Y157" s="51">
        <v>57418.83</v>
      </c>
      <c r="Z157" s="21"/>
      <c r="AA157" s="12">
        <f t="shared" si="34"/>
        <v>789125.38</v>
      </c>
      <c r="AB157" s="12">
        <f t="shared" si="35"/>
        <v>789125.38</v>
      </c>
      <c r="AC157" s="13">
        <v>0</v>
      </c>
    </row>
    <row r="158" spans="1:29" x14ac:dyDescent="0.35">
      <c r="A158" s="17"/>
      <c r="B158" s="15"/>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21"/>
      <c r="AA158" s="12"/>
      <c r="AB158" s="12"/>
      <c r="AC158" s="13"/>
    </row>
    <row r="159" spans="1:29" x14ac:dyDescent="0.35">
      <c r="B159" s="15"/>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21"/>
      <c r="AA159" s="12"/>
      <c r="AB159" s="12"/>
      <c r="AC159" s="13"/>
    </row>
    <row r="160" spans="1:29" x14ac:dyDescent="0.35">
      <c r="A160" s="11" t="s">
        <v>15</v>
      </c>
      <c r="B160" s="15"/>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21"/>
      <c r="AA160" s="12"/>
      <c r="AB160" s="12"/>
      <c r="AC160" s="13"/>
    </row>
    <row r="161" spans="1:29" x14ac:dyDescent="0.35">
      <c r="A161" s="45" t="s">
        <v>1</v>
      </c>
      <c r="B161" s="15"/>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21"/>
      <c r="AA161" s="12"/>
      <c r="AB161" s="12"/>
      <c r="AC161" s="13"/>
    </row>
    <row r="162" spans="1:29" x14ac:dyDescent="0.35">
      <c r="A162" s="15" t="s">
        <v>2</v>
      </c>
      <c r="B162" s="15"/>
      <c r="C162" s="12">
        <v>789502.28</v>
      </c>
      <c r="D162" s="12"/>
      <c r="E162" s="12">
        <v>942856.21</v>
      </c>
      <c r="F162" s="12"/>
      <c r="G162" s="12">
        <v>1162266.99</v>
      </c>
      <c r="H162" s="12"/>
      <c r="I162" s="12">
        <v>1135541.23</v>
      </c>
      <c r="J162" s="12"/>
      <c r="K162" s="12">
        <v>1353013.47</v>
      </c>
      <c r="L162" s="12"/>
      <c r="M162" s="12">
        <v>1188616.8999999999</v>
      </c>
      <c r="N162" s="12"/>
      <c r="O162" s="12">
        <v>973451.36</v>
      </c>
      <c r="P162" s="12"/>
      <c r="Q162" s="12">
        <v>856374.04</v>
      </c>
      <c r="R162" s="12"/>
      <c r="S162" s="51">
        <v>284736.46999999997</v>
      </c>
      <c r="T162" s="12"/>
      <c r="U162" s="12">
        <v>0</v>
      </c>
      <c r="V162" s="12"/>
      <c r="W162" s="12">
        <v>0</v>
      </c>
      <c r="X162" s="12"/>
      <c r="Y162" s="12">
        <v>0</v>
      </c>
      <c r="Z162" s="21"/>
      <c r="AA162" s="12">
        <f t="shared" ref="AA162:AA167" si="36">SUM(C162:Z162)</f>
        <v>8686358.9500000011</v>
      </c>
      <c r="AB162" s="12">
        <f t="shared" ref="AB162:AB167" si="37">AA162+AC162</f>
        <v>13372304.900000002</v>
      </c>
      <c r="AC162" s="13">
        <v>4685945.95</v>
      </c>
    </row>
    <row r="163" spans="1:29" x14ac:dyDescent="0.35">
      <c r="A163" s="15" t="s">
        <v>3</v>
      </c>
      <c r="B163" s="15"/>
      <c r="C163" s="12">
        <v>110161.5</v>
      </c>
      <c r="D163" s="12"/>
      <c r="E163" s="12">
        <v>48230.1</v>
      </c>
      <c r="F163" s="12"/>
      <c r="G163" s="12">
        <v>146041.37</v>
      </c>
      <c r="H163" s="12"/>
      <c r="I163" s="12">
        <v>162127.43</v>
      </c>
      <c r="J163" s="12"/>
      <c r="K163" s="12">
        <v>149765.47</v>
      </c>
      <c r="L163" s="12"/>
      <c r="M163" s="12">
        <v>65948.61</v>
      </c>
      <c r="N163" s="12"/>
      <c r="O163" s="12">
        <v>97393.95</v>
      </c>
      <c r="P163" s="12"/>
      <c r="Q163" s="12">
        <v>17529.14</v>
      </c>
      <c r="R163" s="12"/>
      <c r="S163" s="51">
        <v>-8525.77</v>
      </c>
      <c r="T163" s="12"/>
      <c r="U163" s="12">
        <v>0</v>
      </c>
      <c r="V163" s="12"/>
      <c r="W163" s="12">
        <v>0</v>
      </c>
      <c r="X163" s="12"/>
      <c r="Y163" s="12">
        <v>0</v>
      </c>
      <c r="Z163" s="21"/>
      <c r="AA163" s="12">
        <f t="shared" si="36"/>
        <v>788671.79999999993</v>
      </c>
      <c r="AB163" s="12">
        <f t="shared" si="37"/>
        <v>1292702.23</v>
      </c>
      <c r="AC163" s="13">
        <v>504030.43</v>
      </c>
    </row>
    <row r="164" spans="1:29" x14ac:dyDescent="0.35">
      <c r="A164" s="15" t="s">
        <v>4</v>
      </c>
      <c r="B164" s="15"/>
      <c r="C164" s="12">
        <v>0</v>
      </c>
      <c r="D164" s="12"/>
      <c r="E164" s="12">
        <v>0</v>
      </c>
      <c r="F164" s="12"/>
      <c r="G164" s="12">
        <v>0</v>
      </c>
      <c r="H164" s="12"/>
      <c r="I164" s="12">
        <v>0</v>
      </c>
      <c r="J164" s="12"/>
      <c r="K164" s="12">
        <v>0</v>
      </c>
      <c r="L164" s="12"/>
      <c r="M164" s="12">
        <v>0</v>
      </c>
      <c r="N164" s="12"/>
      <c r="O164" s="12">
        <v>0</v>
      </c>
      <c r="P164" s="12"/>
      <c r="Q164" s="12">
        <v>0</v>
      </c>
      <c r="R164" s="12"/>
      <c r="S164" s="51">
        <v>0</v>
      </c>
      <c r="T164" s="12"/>
      <c r="U164" s="12">
        <v>0</v>
      </c>
      <c r="V164" s="12"/>
      <c r="W164" s="12">
        <v>0</v>
      </c>
      <c r="X164" s="12"/>
      <c r="Y164" s="12">
        <v>0</v>
      </c>
      <c r="Z164" s="21"/>
      <c r="AA164" s="12">
        <f t="shared" si="36"/>
        <v>0</v>
      </c>
      <c r="AB164" s="12">
        <f t="shared" si="37"/>
        <v>0</v>
      </c>
      <c r="AC164" s="13">
        <v>0</v>
      </c>
    </row>
    <row r="165" spans="1:29" x14ac:dyDescent="0.35">
      <c r="A165" s="15" t="s">
        <v>5</v>
      </c>
      <c r="B165" s="15"/>
      <c r="C165" s="12">
        <v>110161.5</v>
      </c>
      <c r="D165" s="12"/>
      <c r="E165" s="12">
        <v>48230.1</v>
      </c>
      <c r="F165" s="12"/>
      <c r="G165" s="12">
        <v>146041.37</v>
      </c>
      <c r="H165" s="12"/>
      <c r="I165" s="12">
        <v>162127.43</v>
      </c>
      <c r="J165" s="12"/>
      <c r="K165" s="12">
        <v>149765.47</v>
      </c>
      <c r="L165" s="12"/>
      <c r="M165" s="12">
        <v>65948.61</v>
      </c>
      <c r="N165" s="12"/>
      <c r="O165" s="12">
        <v>97393.95</v>
      </c>
      <c r="P165" s="12"/>
      <c r="Q165" s="12">
        <v>17529.14</v>
      </c>
      <c r="R165" s="12"/>
      <c r="S165" s="51">
        <v>-8525.77</v>
      </c>
      <c r="T165" s="12"/>
      <c r="U165" s="12">
        <v>0</v>
      </c>
      <c r="V165" s="12"/>
      <c r="W165" s="12">
        <v>0</v>
      </c>
      <c r="X165" s="12"/>
      <c r="Y165" s="12">
        <v>0</v>
      </c>
      <c r="Z165" s="21"/>
      <c r="AA165" s="12">
        <f t="shared" si="36"/>
        <v>788671.79999999993</v>
      </c>
      <c r="AB165" s="12">
        <f t="shared" si="37"/>
        <v>1292702.23</v>
      </c>
      <c r="AC165" s="13">
        <v>504030.43</v>
      </c>
    </row>
    <row r="166" spans="1:29" x14ac:dyDescent="0.35">
      <c r="A166" s="15" t="s">
        <v>6</v>
      </c>
      <c r="B166" s="15"/>
      <c r="C166" s="12">
        <v>37454.910000000003</v>
      </c>
      <c r="D166" s="12"/>
      <c r="E166" s="12">
        <v>16398.23</v>
      </c>
      <c r="F166" s="12"/>
      <c r="G166" s="12">
        <v>49654.07</v>
      </c>
      <c r="H166" s="12"/>
      <c r="I166" s="12">
        <v>55123.33</v>
      </c>
      <c r="J166" s="12"/>
      <c r="K166" s="12">
        <v>50920.26</v>
      </c>
      <c r="L166" s="12"/>
      <c r="M166" s="12">
        <v>22422.53</v>
      </c>
      <c r="N166" s="12"/>
      <c r="O166" s="12">
        <v>33113.94</v>
      </c>
      <c r="P166" s="12"/>
      <c r="Q166" s="12">
        <v>5959.91</v>
      </c>
      <c r="R166" s="12"/>
      <c r="S166" s="51">
        <v>-2898.76</v>
      </c>
      <c r="T166" s="12"/>
      <c r="U166" s="12">
        <v>0</v>
      </c>
      <c r="V166" s="12"/>
      <c r="W166" s="12">
        <v>0</v>
      </c>
      <c r="X166" s="12"/>
      <c r="Y166" s="12">
        <v>0</v>
      </c>
      <c r="Z166" s="21"/>
      <c r="AA166" s="12">
        <f t="shared" si="36"/>
        <v>268148.42</v>
      </c>
      <c r="AB166" s="12">
        <f t="shared" si="37"/>
        <v>439518.78</v>
      </c>
      <c r="AC166" s="13">
        <v>171370.36000000002</v>
      </c>
    </row>
    <row r="167" spans="1:29" x14ac:dyDescent="0.35">
      <c r="A167" s="17" t="s">
        <v>7</v>
      </c>
      <c r="B167" s="15"/>
      <c r="C167" s="12">
        <v>2203.23</v>
      </c>
      <c r="D167" s="12"/>
      <c r="E167" s="12">
        <v>964.6</v>
      </c>
      <c r="F167" s="12"/>
      <c r="G167" s="12">
        <v>2920.83</v>
      </c>
      <c r="H167" s="12"/>
      <c r="I167" s="12">
        <v>3242.55</v>
      </c>
      <c r="J167" s="12"/>
      <c r="K167" s="12">
        <v>2995.31</v>
      </c>
      <c r="L167" s="12"/>
      <c r="M167" s="12">
        <v>1318.97</v>
      </c>
      <c r="N167" s="12"/>
      <c r="O167" s="12">
        <v>1947.88</v>
      </c>
      <c r="P167" s="12"/>
      <c r="Q167" s="12">
        <v>350.58</v>
      </c>
      <c r="R167" s="12"/>
      <c r="S167" s="51">
        <v>-170.52</v>
      </c>
      <c r="T167" s="12"/>
      <c r="U167" s="12">
        <v>0</v>
      </c>
      <c r="V167" s="12"/>
      <c r="W167" s="12">
        <v>0</v>
      </c>
      <c r="X167" s="12"/>
      <c r="Y167" s="12">
        <v>0</v>
      </c>
      <c r="Z167" s="21"/>
      <c r="AA167" s="12">
        <f t="shared" si="36"/>
        <v>15773.429999999998</v>
      </c>
      <c r="AB167" s="12">
        <f t="shared" si="37"/>
        <v>25854.04</v>
      </c>
      <c r="AC167" s="13">
        <v>10080.61</v>
      </c>
    </row>
    <row r="168" spans="1:29" x14ac:dyDescent="0.35">
      <c r="A168" s="45" t="s">
        <v>8</v>
      </c>
      <c r="B168" s="15"/>
      <c r="C168" s="12"/>
      <c r="D168" s="12"/>
      <c r="E168" s="12"/>
      <c r="F168" s="12"/>
      <c r="G168" s="12"/>
      <c r="H168" s="12"/>
      <c r="I168" s="12"/>
      <c r="J168" s="12"/>
      <c r="K168" s="12"/>
      <c r="L168" s="12"/>
      <c r="M168" s="12"/>
      <c r="N168" s="12"/>
      <c r="O168" s="12"/>
      <c r="P168" s="12"/>
      <c r="Q168" s="12"/>
      <c r="R168" s="12"/>
      <c r="S168" s="51"/>
      <c r="T168" s="12"/>
      <c r="U168" s="12"/>
      <c r="V168" s="12"/>
      <c r="W168" s="12"/>
      <c r="X168" s="12"/>
      <c r="Y168" s="12"/>
      <c r="Z168" s="21"/>
      <c r="AA168" s="12"/>
      <c r="AB168" s="12"/>
      <c r="AC168" s="13"/>
    </row>
    <row r="169" spans="1:29" x14ac:dyDescent="0.35">
      <c r="A169" s="15" t="s">
        <v>2</v>
      </c>
      <c r="B169" s="15"/>
      <c r="C169" s="12">
        <v>789502.28</v>
      </c>
      <c r="D169" s="12"/>
      <c r="E169" s="12">
        <v>942856.21</v>
      </c>
      <c r="F169" s="12"/>
      <c r="G169" s="12">
        <v>1162266.99</v>
      </c>
      <c r="H169" s="12"/>
      <c r="I169" s="12">
        <v>1135541.23</v>
      </c>
      <c r="J169" s="12"/>
      <c r="K169" s="12">
        <v>1353013.47</v>
      </c>
      <c r="L169" s="12"/>
      <c r="M169" s="12">
        <v>1188616.8999999999</v>
      </c>
      <c r="N169" s="12"/>
      <c r="O169" s="12">
        <v>973451.36</v>
      </c>
      <c r="P169" s="12"/>
      <c r="Q169" s="12">
        <v>856374.04</v>
      </c>
      <c r="R169" s="12"/>
      <c r="S169" s="51">
        <v>284736.46999999997</v>
      </c>
      <c r="T169" s="12"/>
      <c r="U169" s="12">
        <v>0</v>
      </c>
      <c r="V169" s="12"/>
      <c r="W169" s="12">
        <v>0</v>
      </c>
      <c r="X169" s="12"/>
      <c r="Y169" s="12">
        <v>0</v>
      </c>
      <c r="Z169" s="21"/>
      <c r="AA169" s="12">
        <f>SUM(C169:Z169)</f>
        <v>8686358.9500000011</v>
      </c>
      <c r="AB169" s="12">
        <f t="shared" ref="AB169:AB172" si="38">AA169+AC169</f>
        <v>13372304.900000002</v>
      </c>
      <c r="AC169" s="13">
        <v>4685945.95</v>
      </c>
    </row>
    <row r="170" spans="1:29" x14ac:dyDescent="0.35">
      <c r="A170" s="15" t="s">
        <v>5</v>
      </c>
      <c r="B170" s="15"/>
      <c r="C170" s="12">
        <v>110161.5</v>
      </c>
      <c r="D170" s="12"/>
      <c r="E170" s="12">
        <v>48230.1</v>
      </c>
      <c r="F170" s="12"/>
      <c r="G170" s="12">
        <v>146041.37</v>
      </c>
      <c r="H170" s="12"/>
      <c r="I170" s="12">
        <v>162127.43</v>
      </c>
      <c r="J170" s="12"/>
      <c r="K170" s="12">
        <v>149765.47</v>
      </c>
      <c r="L170" s="12"/>
      <c r="M170" s="12">
        <v>65948.61</v>
      </c>
      <c r="N170" s="12"/>
      <c r="O170" s="12">
        <v>97393.95</v>
      </c>
      <c r="P170" s="12"/>
      <c r="Q170" s="12">
        <v>17529.14</v>
      </c>
      <c r="R170" s="12"/>
      <c r="S170" s="51">
        <v>-8525.77</v>
      </c>
      <c r="T170" s="12"/>
      <c r="U170" s="12">
        <v>0</v>
      </c>
      <c r="V170" s="12"/>
      <c r="W170" s="12">
        <v>0</v>
      </c>
      <c r="X170" s="12"/>
      <c r="Y170" s="12">
        <v>0</v>
      </c>
      <c r="Z170" s="21"/>
      <c r="AA170" s="12">
        <f>SUM(C170:Z170)</f>
        <v>788671.79999999993</v>
      </c>
      <c r="AB170" s="12">
        <f t="shared" si="38"/>
        <v>1292702.23</v>
      </c>
      <c r="AC170" s="13">
        <v>504030.43</v>
      </c>
    </row>
    <row r="171" spans="1:29" x14ac:dyDescent="0.35">
      <c r="A171" s="15" t="s">
        <v>10</v>
      </c>
      <c r="B171" s="15"/>
      <c r="C171" s="12">
        <v>37454.910000000003</v>
      </c>
      <c r="D171" s="12"/>
      <c r="E171" s="12">
        <v>16398.23</v>
      </c>
      <c r="F171" s="12"/>
      <c r="G171" s="12">
        <v>49654.07</v>
      </c>
      <c r="H171" s="12"/>
      <c r="I171" s="12">
        <v>55123.33</v>
      </c>
      <c r="J171" s="12"/>
      <c r="K171" s="12">
        <v>50920.26</v>
      </c>
      <c r="L171" s="12"/>
      <c r="M171" s="12">
        <v>22422.53</v>
      </c>
      <c r="N171" s="12"/>
      <c r="O171" s="12">
        <v>33113.94</v>
      </c>
      <c r="P171" s="12"/>
      <c r="Q171" s="12">
        <v>5959.91</v>
      </c>
      <c r="R171" s="12"/>
      <c r="S171" s="51">
        <v>-2898.76</v>
      </c>
      <c r="T171" s="12"/>
      <c r="U171" s="12">
        <v>0</v>
      </c>
      <c r="V171" s="12"/>
      <c r="W171" s="12">
        <v>0</v>
      </c>
      <c r="X171" s="12"/>
      <c r="Y171" s="12">
        <v>0</v>
      </c>
      <c r="Z171" s="21"/>
      <c r="AA171" s="12">
        <f>SUM(C171:Z171)</f>
        <v>268148.42</v>
      </c>
      <c r="AB171" s="12">
        <f t="shared" si="38"/>
        <v>439518.78</v>
      </c>
      <c r="AC171" s="13">
        <v>171370.36000000002</v>
      </c>
    </row>
    <row r="172" spans="1:29" x14ac:dyDescent="0.35">
      <c r="A172" s="17" t="s">
        <v>7</v>
      </c>
      <c r="B172" s="15"/>
      <c r="C172" s="12">
        <v>2203.23</v>
      </c>
      <c r="D172" s="12"/>
      <c r="E172" s="12">
        <v>964.6</v>
      </c>
      <c r="F172" s="12"/>
      <c r="G172" s="12">
        <v>2920.83</v>
      </c>
      <c r="H172" s="12"/>
      <c r="I172" s="12">
        <v>3242.55</v>
      </c>
      <c r="J172" s="12"/>
      <c r="K172" s="12">
        <v>2995.31</v>
      </c>
      <c r="L172" s="12"/>
      <c r="M172" s="12">
        <v>1318.97</v>
      </c>
      <c r="N172" s="12"/>
      <c r="O172" s="12">
        <v>1947.88</v>
      </c>
      <c r="P172" s="12"/>
      <c r="Q172" s="12">
        <v>350.58</v>
      </c>
      <c r="R172" s="12"/>
      <c r="S172" s="51">
        <v>-170.52</v>
      </c>
      <c r="T172" s="12"/>
      <c r="U172" s="12">
        <v>0</v>
      </c>
      <c r="V172" s="12"/>
      <c r="W172" s="12">
        <v>0</v>
      </c>
      <c r="X172" s="12"/>
      <c r="Y172" s="12">
        <v>0</v>
      </c>
      <c r="Z172" s="21"/>
      <c r="AA172" s="12">
        <f>SUM(C172:Z172)</f>
        <v>15773.429999999998</v>
      </c>
      <c r="AB172" s="12">
        <f t="shared" si="38"/>
        <v>25854.04</v>
      </c>
      <c r="AC172" s="13">
        <v>10080.61</v>
      </c>
    </row>
    <row r="173" spans="1:29" x14ac:dyDescent="0.35">
      <c r="A173" s="45" t="s">
        <v>9</v>
      </c>
      <c r="B173" s="15"/>
      <c r="C173" s="12"/>
      <c r="D173" s="12"/>
      <c r="E173" s="12"/>
      <c r="F173" s="12"/>
      <c r="G173" s="12"/>
      <c r="H173" s="12"/>
      <c r="I173" s="12"/>
      <c r="J173" s="12"/>
      <c r="K173" s="12"/>
      <c r="L173" s="12"/>
      <c r="M173" s="12"/>
      <c r="N173" s="12"/>
      <c r="O173" s="12"/>
      <c r="P173" s="12"/>
      <c r="Q173" s="12"/>
      <c r="R173" s="12"/>
      <c r="S173" s="51"/>
      <c r="T173" s="12"/>
      <c r="U173" s="12"/>
      <c r="V173" s="12"/>
      <c r="W173" s="12"/>
      <c r="X173" s="12"/>
      <c r="Y173" s="12"/>
      <c r="Z173" s="21"/>
      <c r="AA173" s="12"/>
      <c r="AB173" s="12"/>
      <c r="AC173" s="13"/>
    </row>
    <row r="174" spans="1:29" x14ac:dyDescent="0.35">
      <c r="A174" s="15" t="s">
        <v>2</v>
      </c>
      <c r="B174" s="15"/>
      <c r="C174" s="12">
        <v>0</v>
      </c>
      <c r="D174" s="12"/>
      <c r="E174" s="12">
        <v>0</v>
      </c>
      <c r="F174" s="12"/>
      <c r="G174" s="12">
        <v>0</v>
      </c>
      <c r="H174" s="12"/>
      <c r="I174" s="12">
        <v>0</v>
      </c>
      <c r="J174" s="12"/>
      <c r="K174" s="12">
        <v>0</v>
      </c>
      <c r="L174" s="12"/>
      <c r="M174" s="12">
        <v>0</v>
      </c>
      <c r="N174" s="12"/>
      <c r="O174" s="12">
        <v>0</v>
      </c>
      <c r="P174" s="12"/>
      <c r="Q174" s="12">
        <v>0</v>
      </c>
      <c r="R174" s="12"/>
      <c r="S174" s="51">
        <v>0</v>
      </c>
      <c r="T174" s="12"/>
      <c r="U174" s="12">
        <v>0</v>
      </c>
      <c r="V174" s="12"/>
      <c r="W174" s="12">
        <v>0</v>
      </c>
      <c r="X174" s="12"/>
      <c r="Y174" s="12">
        <v>0</v>
      </c>
      <c r="Z174" s="21"/>
      <c r="AA174" s="12">
        <f t="shared" ref="AA174:AA179" si="39">SUM(C174:Z174)</f>
        <v>0</v>
      </c>
      <c r="AB174" s="12">
        <f t="shared" ref="AB174:AB179" si="40">AA174+AC174</f>
        <v>0</v>
      </c>
      <c r="AC174" s="13">
        <v>0</v>
      </c>
    </row>
    <row r="175" spans="1:29" x14ac:dyDescent="0.35">
      <c r="A175" s="15" t="s">
        <v>3</v>
      </c>
      <c r="B175" s="15"/>
      <c r="C175" s="12">
        <v>0</v>
      </c>
      <c r="D175" s="12"/>
      <c r="E175" s="12">
        <v>0</v>
      </c>
      <c r="F175" s="12"/>
      <c r="G175" s="12">
        <v>0</v>
      </c>
      <c r="H175" s="12"/>
      <c r="I175" s="12">
        <v>0</v>
      </c>
      <c r="J175" s="12"/>
      <c r="K175" s="12">
        <v>0</v>
      </c>
      <c r="L175" s="12"/>
      <c r="M175" s="12">
        <v>0</v>
      </c>
      <c r="N175" s="12"/>
      <c r="O175" s="12">
        <v>0</v>
      </c>
      <c r="P175" s="12"/>
      <c r="Q175" s="12">
        <v>0</v>
      </c>
      <c r="R175" s="12"/>
      <c r="S175" s="51">
        <v>0</v>
      </c>
      <c r="T175" s="12"/>
      <c r="U175" s="12">
        <v>0</v>
      </c>
      <c r="V175" s="12"/>
      <c r="W175" s="12">
        <v>0</v>
      </c>
      <c r="X175" s="12"/>
      <c r="Y175" s="12">
        <v>0</v>
      </c>
      <c r="Z175" s="21"/>
      <c r="AA175" s="12">
        <f t="shared" si="39"/>
        <v>0</v>
      </c>
      <c r="AB175" s="12">
        <f t="shared" si="40"/>
        <v>0</v>
      </c>
      <c r="AC175" s="13">
        <v>0</v>
      </c>
    </row>
    <row r="176" spans="1:29" x14ac:dyDescent="0.35">
      <c r="A176" s="15" t="s">
        <v>4</v>
      </c>
      <c r="B176" s="15"/>
      <c r="C176" s="12">
        <v>0</v>
      </c>
      <c r="D176" s="12"/>
      <c r="E176" s="12">
        <v>0</v>
      </c>
      <c r="F176" s="12"/>
      <c r="G176" s="12">
        <v>0</v>
      </c>
      <c r="H176" s="12"/>
      <c r="I176" s="12">
        <v>0</v>
      </c>
      <c r="J176" s="12"/>
      <c r="K176" s="12">
        <v>0</v>
      </c>
      <c r="L176" s="12"/>
      <c r="M176" s="12">
        <v>0</v>
      </c>
      <c r="N176" s="12"/>
      <c r="O176" s="12">
        <v>0</v>
      </c>
      <c r="P176" s="12"/>
      <c r="Q176" s="12">
        <v>0</v>
      </c>
      <c r="R176" s="12"/>
      <c r="S176" s="51">
        <v>0</v>
      </c>
      <c r="T176" s="12"/>
      <c r="U176" s="12">
        <v>0</v>
      </c>
      <c r="V176" s="12"/>
      <c r="W176" s="12">
        <v>0</v>
      </c>
      <c r="X176" s="12"/>
      <c r="Y176" s="12">
        <v>0</v>
      </c>
      <c r="Z176" s="21"/>
      <c r="AA176" s="12">
        <f t="shared" si="39"/>
        <v>0</v>
      </c>
      <c r="AB176" s="12">
        <f t="shared" si="40"/>
        <v>0</v>
      </c>
      <c r="AC176" s="13">
        <v>0</v>
      </c>
    </row>
    <row r="177" spans="1:29" x14ac:dyDescent="0.35">
      <c r="A177" s="15" t="s">
        <v>5</v>
      </c>
      <c r="B177" s="15"/>
      <c r="C177" s="12">
        <v>0</v>
      </c>
      <c r="D177" s="12"/>
      <c r="E177" s="12">
        <v>0</v>
      </c>
      <c r="F177" s="12"/>
      <c r="G177" s="12">
        <v>0</v>
      </c>
      <c r="H177" s="12"/>
      <c r="I177" s="12">
        <v>0</v>
      </c>
      <c r="J177" s="12"/>
      <c r="K177" s="12">
        <v>0</v>
      </c>
      <c r="L177" s="12"/>
      <c r="M177" s="12">
        <v>0</v>
      </c>
      <c r="N177" s="12"/>
      <c r="O177" s="12">
        <v>0</v>
      </c>
      <c r="P177" s="12"/>
      <c r="Q177" s="12">
        <v>0</v>
      </c>
      <c r="R177" s="12"/>
      <c r="S177" s="51">
        <v>0</v>
      </c>
      <c r="T177" s="12"/>
      <c r="U177" s="12">
        <v>0</v>
      </c>
      <c r="V177" s="12"/>
      <c r="W177" s="12">
        <v>0</v>
      </c>
      <c r="X177" s="12"/>
      <c r="Y177" s="12">
        <v>0</v>
      </c>
      <c r="Z177" s="21"/>
      <c r="AA177" s="12">
        <f t="shared" si="39"/>
        <v>0</v>
      </c>
      <c r="AB177" s="12">
        <f t="shared" si="40"/>
        <v>0</v>
      </c>
      <c r="AC177" s="13">
        <v>0</v>
      </c>
    </row>
    <row r="178" spans="1:29" x14ac:dyDescent="0.35">
      <c r="A178" s="15" t="s">
        <v>10</v>
      </c>
      <c r="B178" s="15"/>
      <c r="C178" s="12">
        <v>0</v>
      </c>
      <c r="D178" s="12"/>
      <c r="E178" s="12">
        <v>0</v>
      </c>
      <c r="F178" s="12"/>
      <c r="G178" s="12">
        <v>0</v>
      </c>
      <c r="H178" s="12"/>
      <c r="I178" s="12">
        <v>0</v>
      </c>
      <c r="J178" s="12"/>
      <c r="K178" s="12">
        <v>0</v>
      </c>
      <c r="L178" s="12"/>
      <c r="M178" s="12">
        <v>0</v>
      </c>
      <c r="N178" s="12"/>
      <c r="O178" s="12">
        <v>0</v>
      </c>
      <c r="P178" s="12"/>
      <c r="Q178" s="12">
        <v>0</v>
      </c>
      <c r="R178" s="12"/>
      <c r="S178" s="51">
        <v>0</v>
      </c>
      <c r="T178" s="12"/>
      <c r="U178" s="12">
        <v>0</v>
      </c>
      <c r="V178" s="12"/>
      <c r="W178" s="12">
        <v>0</v>
      </c>
      <c r="X178" s="12"/>
      <c r="Y178" s="12">
        <v>0</v>
      </c>
      <c r="Z178" s="21"/>
      <c r="AA178" s="12">
        <f t="shared" si="39"/>
        <v>0</v>
      </c>
      <c r="AB178" s="12">
        <f t="shared" si="40"/>
        <v>0</v>
      </c>
      <c r="AC178" s="13">
        <v>0</v>
      </c>
    </row>
    <row r="179" spans="1:29" x14ac:dyDescent="0.35">
      <c r="A179" s="17" t="s">
        <v>7</v>
      </c>
      <c r="B179" s="15"/>
      <c r="C179" s="12">
        <v>0</v>
      </c>
      <c r="D179" s="12"/>
      <c r="E179" s="12">
        <v>0</v>
      </c>
      <c r="F179" s="12"/>
      <c r="G179" s="12">
        <v>0</v>
      </c>
      <c r="H179" s="12"/>
      <c r="I179" s="12">
        <v>0</v>
      </c>
      <c r="J179" s="12"/>
      <c r="K179" s="12">
        <v>0</v>
      </c>
      <c r="L179" s="12"/>
      <c r="M179" s="12">
        <v>0</v>
      </c>
      <c r="N179" s="12"/>
      <c r="O179" s="12">
        <v>0</v>
      </c>
      <c r="P179" s="12"/>
      <c r="Q179" s="12">
        <v>0</v>
      </c>
      <c r="R179" s="12"/>
      <c r="S179" s="51">
        <v>0</v>
      </c>
      <c r="T179" s="12"/>
      <c r="U179" s="12">
        <v>0</v>
      </c>
      <c r="V179" s="12"/>
      <c r="W179" s="12">
        <v>0</v>
      </c>
      <c r="X179" s="12"/>
      <c r="Y179" s="12">
        <v>0</v>
      </c>
      <c r="Z179" s="21"/>
      <c r="AA179" s="12">
        <f t="shared" si="39"/>
        <v>0</v>
      </c>
      <c r="AB179" s="12">
        <f t="shared" si="40"/>
        <v>0</v>
      </c>
      <c r="AC179" s="13">
        <v>0</v>
      </c>
    </row>
    <row r="180" spans="1:29" x14ac:dyDescent="0.35">
      <c r="A180" s="17"/>
      <c r="B180" s="15"/>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21"/>
      <c r="AA180" s="12"/>
      <c r="AB180" s="12"/>
      <c r="AC180" s="13"/>
    </row>
    <row r="181" spans="1:29" x14ac:dyDescent="0.35">
      <c r="A181" s="17"/>
      <c r="B181" s="15"/>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21"/>
      <c r="AA181" s="12"/>
      <c r="AB181" s="12"/>
      <c r="AC181" s="13"/>
    </row>
    <row r="182" spans="1:29" x14ac:dyDescent="0.35">
      <c r="A182" s="11" t="s">
        <v>34</v>
      </c>
      <c r="B182" s="15"/>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21"/>
      <c r="AA182" s="12"/>
      <c r="AB182" s="12"/>
      <c r="AC182" s="13"/>
    </row>
    <row r="183" spans="1:29" x14ac:dyDescent="0.35">
      <c r="A183" s="45" t="s">
        <v>1</v>
      </c>
      <c r="B183" s="15"/>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21"/>
      <c r="AA183" s="12"/>
      <c r="AB183" s="12"/>
      <c r="AC183" s="13"/>
    </row>
    <row r="184" spans="1:29" x14ac:dyDescent="0.35">
      <c r="A184" s="15" t="s">
        <v>2</v>
      </c>
      <c r="B184" s="15"/>
      <c r="C184" s="12">
        <v>162780.92000000001</v>
      </c>
      <c r="D184" s="12"/>
      <c r="E184" s="12">
        <v>1197552.94</v>
      </c>
      <c r="F184" s="12"/>
      <c r="G184" s="12">
        <v>2184693.04</v>
      </c>
      <c r="H184" s="12"/>
      <c r="I184" s="12">
        <v>3194587.31</v>
      </c>
      <c r="J184" s="12"/>
      <c r="K184" s="12">
        <v>3678897.92</v>
      </c>
      <c r="L184" s="12"/>
      <c r="M184" s="12">
        <v>3126652.19</v>
      </c>
      <c r="N184" s="12"/>
      <c r="O184" s="12">
        <v>3431482.3899999997</v>
      </c>
      <c r="P184" s="12"/>
      <c r="Q184" s="12">
        <v>3145194.29</v>
      </c>
      <c r="R184" s="12"/>
      <c r="S184" s="12">
        <v>1565563.5399999998</v>
      </c>
      <c r="T184" s="12"/>
      <c r="U184" s="51">
        <v>97106.54</v>
      </c>
      <c r="V184" s="12"/>
      <c r="W184" s="12">
        <v>265938.28999999998</v>
      </c>
      <c r="X184" s="12"/>
      <c r="Y184" s="51">
        <v>261720.72000000003</v>
      </c>
      <c r="Z184" s="21"/>
      <c r="AA184" s="12">
        <f t="shared" ref="AA184:AA189" si="41">SUM(C184:Z184)</f>
        <v>22312170.089999992</v>
      </c>
      <c r="AB184" s="12">
        <f>AA184</f>
        <v>22312170.089999992</v>
      </c>
      <c r="AC184" s="13"/>
    </row>
    <row r="185" spans="1:29" x14ac:dyDescent="0.35">
      <c r="A185" s="15" t="s">
        <v>3</v>
      </c>
      <c r="B185" s="15"/>
      <c r="C185" s="12">
        <v>45468.6</v>
      </c>
      <c r="D185" s="12"/>
      <c r="E185" s="12">
        <v>282384.28000000003</v>
      </c>
      <c r="F185" s="12"/>
      <c r="G185" s="12">
        <v>459548.33</v>
      </c>
      <c r="H185" s="12"/>
      <c r="I185" s="12">
        <v>194829.46</v>
      </c>
      <c r="J185" s="12"/>
      <c r="K185" s="12">
        <v>302457.8</v>
      </c>
      <c r="L185" s="12"/>
      <c r="M185" s="12">
        <v>251439.54</v>
      </c>
      <c r="N185" s="12"/>
      <c r="O185" s="12">
        <v>337542.47</v>
      </c>
      <c r="P185" s="12"/>
      <c r="Q185" s="12">
        <v>50123.1</v>
      </c>
      <c r="R185" s="12"/>
      <c r="S185" s="12">
        <v>76380.22</v>
      </c>
      <c r="T185" s="12"/>
      <c r="U185" s="51">
        <v>-3113.96</v>
      </c>
      <c r="V185" s="12"/>
      <c r="W185" s="12">
        <v>7216.47</v>
      </c>
      <c r="X185" s="12"/>
      <c r="Y185" s="51">
        <v>10579.83</v>
      </c>
      <c r="Z185" s="21"/>
      <c r="AA185" s="12">
        <f t="shared" si="41"/>
        <v>2014856.1400000001</v>
      </c>
      <c r="AB185" s="12">
        <f t="shared" ref="AB185:AB201" si="42">AA185</f>
        <v>2014856.1400000001</v>
      </c>
      <c r="AC185" s="13"/>
    </row>
    <row r="186" spans="1:29" x14ac:dyDescent="0.35">
      <c r="A186" s="15" t="s">
        <v>4</v>
      </c>
      <c r="B186" s="15"/>
      <c r="C186" s="12">
        <v>0</v>
      </c>
      <c r="D186" s="12"/>
      <c r="E186" s="12">
        <v>0</v>
      </c>
      <c r="F186" s="12"/>
      <c r="G186" s="12">
        <v>0</v>
      </c>
      <c r="H186" s="12"/>
      <c r="I186" s="12">
        <v>0</v>
      </c>
      <c r="J186" s="12"/>
      <c r="K186" s="12">
        <v>0</v>
      </c>
      <c r="L186" s="12"/>
      <c r="M186" s="12">
        <v>4870</v>
      </c>
      <c r="N186" s="12"/>
      <c r="O186" s="12">
        <v>11072.78</v>
      </c>
      <c r="P186" s="12"/>
      <c r="Q186" s="12">
        <v>0</v>
      </c>
      <c r="R186" s="12"/>
      <c r="S186" s="12">
        <v>16637.41</v>
      </c>
      <c r="T186" s="12"/>
      <c r="U186" s="51">
        <v>952</v>
      </c>
      <c r="V186" s="12"/>
      <c r="W186" s="12">
        <v>1180</v>
      </c>
      <c r="X186" s="12"/>
      <c r="Y186" s="51">
        <v>1132.25</v>
      </c>
      <c r="Z186" s="21"/>
      <c r="AA186" s="12">
        <f t="shared" si="41"/>
        <v>35844.44</v>
      </c>
      <c r="AB186" s="12">
        <f t="shared" si="42"/>
        <v>35844.44</v>
      </c>
      <c r="AC186" s="13"/>
    </row>
    <row r="187" spans="1:29" x14ac:dyDescent="0.35">
      <c r="A187" s="15" t="s">
        <v>5</v>
      </c>
      <c r="B187" s="15"/>
      <c r="C187" s="12">
        <v>45468.6</v>
      </c>
      <c r="D187" s="12"/>
      <c r="E187" s="12">
        <v>282384.28000000003</v>
      </c>
      <c r="F187" s="12"/>
      <c r="G187" s="12">
        <v>459548.33</v>
      </c>
      <c r="H187" s="12"/>
      <c r="I187" s="12">
        <v>194829.46</v>
      </c>
      <c r="J187" s="12"/>
      <c r="K187" s="12">
        <v>302457.8</v>
      </c>
      <c r="L187" s="12"/>
      <c r="M187" s="12">
        <v>246569.54</v>
      </c>
      <c r="N187" s="12"/>
      <c r="O187" s="12">
        <v>326469.69</v>
      </c>
      <c r="P187" s="12"/>
      <c r="Q187" s="12">
        <v>50123.1</v>
      </c>
      <c r="R187" s="12"/>
      <c r="S187" s="12">
        <v>59742.81</v>
      </c>
      <c r="T187" s="12"/>
      <c r="U187" s="51">
        <v>-4065.96</v>
      </c>
      <c r="V187" s="12"/>
      <c r="W187" s="12">
        <v>6036.47</v>
      </c>
      <c r="X187" s="12"/>
      <c r="Y187" s="51">
        <v>9447.58</v>
      </c>
      <c r="Z187" s="21"/>
      <c r="AA187" s="12">
        <f t="shared" si="41"/>
        <v>1979011.7000000002</v>
      </c>
      <c r="AB187" s="12">
        <f t="shared" si="42"/>
        <v>1979011.7000000002</v>
      </c>
      <c r="AC187" s="13"/>
    </row>
    <row r="188" spans="1:29" x14ac:dyDescent="0.35">
      <c r="A188" s="15" t="s">
        <v>6</v>
      </c>
      <c r="B188" s="15"/>
      <c r="C188" s="12">
        <v>15459.32</v>
      </c>
      <c r="D188" s="12"/>
      <c r="E188" s="12">
        <v>96010.66</v>
      </c>
      <c r="F188" s="12"/>
      <c r="G188" s="12">
        <v>156246.43</v>
      </c>
      <c r="H188" s="12"/>
      <c r="I188" s="12">
        <v>66242.02</v>
      </c>
      <c r="J188" s="12"/>
      <c r="K188" s="12">
        <v>102835.65</v>
      </c>
      <c r="L188" s="12"/>
      <c r="M188" s="12">
        <v>83833.64</v>
      </c>
      <c r="N188" s="12"/>
      <c r="O188" s="12">
        <v>110999.7</v>
      </c>
      <c r="P188" s="12"/>
      <c r="Q188" s="12">
        <v>17041.849999999999</v>
      </c>
      <c r="R188" s="12"/>
      <c r="S188" s="12">
        <v>20312.55</v>
      </c>
      <c r="T188" s="12"/>
      <c r="U188" s="51">
        <v>-1382.43</v>
      </c>
      <c r="V188" s="12"/>
      <c r="W188" s="12">
        <v>2052.4</v>
      </c>
      <c r="X188" s="12"/>
      <c r="Y188" s="51">
        <v>3212.17</v>
      </c>
      <c r="Z188" s="21"/>
      <c r="AA188" s="12">
        <f t="shared" si="41"/>
        <v>672863.96000000008</v>
      </c>
      <c r="AB188" s="12">
        <f t="shared" si="42"/>
        <v>672863.96000000008</v>
      </c>
      <c r="AC188" s="13"/>
    </row>
    <row r="189" spans="1:29" x14ac:dyDescent="0.35">
      <c r="A189" s="17" t="s">
        <v>7</v>
      </c>
      <c r="B189" s="15"/>
      <c r="C189" s="12">
        <v>909.37</v>
      </c>
      <c r="D189" s="12"/>
      <c r="E189" s="12">
        <v>5647.69</v>
      </c>
      <c r="F189" s="12"/>
      <c r="G189" s="12">
        <v>9190.9699999999993</v>
      </c>
      <c r="H189" s="12"/>
      <c r="I189" s="12">
        <v>3896.59</v>
      </c>
      <c r="J189" s="12"/>
      <c r="K189" s="12">
        <v>6049.16</v>
      </c>
      <c r="L189" s="12"/>
      <c r="M189" s="12">
        <v>4931.3900000000003</v>
      </c>
      <c r="N189" s="12"/>
      <c r="O189" s="12">
        <v>6529.39</v>
      </c>
      <c r="P189" s="12"/>
      <c r="Q189" s="12">
        <v>1002.46</v>
      </c>
      <c r="R189" s="12"/>
      <c r="S189" s="12">
        <v>1194.8600000000001</v>
      </c>
      <c r="T189" s="12"/>
      <c r="U189" s="51">
        <v>-81.319999999999993</v>
      </c>
      <c r="V189" s="12"/>
      <c r="W189" s="12">
        <v>120.73</v>
      </c>
      <c r="X189" s="12"/>
      <c r="Y189" s="51">
        <v>188.95</v>
      </c>
      <c r="Z189" s="21"/>
      <c r="AA189" s="12">
        <f t="shared" si="41"/>
        <v>39580.239999999998</v>
      </c>
      <c r="AB189" s="12">
        <f t="shared" si="42"/>
        <v>39580.239999999998</v>
      </c>
      <c r="AC189" s="13"/>
    </row>
    <row r="190" spans="1:29" x14ac:dyDescent="0.35">
      <c r="A190" s="45" t="s">
        <v>8</v>
      </c>
      <c r="B190" s="15"/>
      <c r="C190" s="12"/>
      <c r="D190" s="12"/>
      <c r="E190" s="12"/>
      <c r="F190" s="12"/>
      <c r="G190" s="12"/>
      <c r="H190" s="12"/>
      <c r="I190" s="12"/>
      <c r="J190" s="12"/>
      <c r="K190" s="12"/>
      <c r="L190" s="12"/>
      <c r="M190" s="12"/>
      <c r="N190" s="12"/>
      <c r="O190" s="12"/>
      <c r="P190" s="12"/>
      <c r="Q190" s="12"/>
      <c r="R190" s="12"/>
      <c r="S190" s="12"/>
      <c r="T190" s="12"/>
      <c r="U190" s="51"/>
      <c r="V190" s="12"/>
      <c r="W190" s="12"/>
      <c r="X190" s="12"/>
      <c r="Y190" s="51"/>
      <c r="Z190" s="21"/>
      <c r="AA190" s="12"/>
      <c r="AB190" s="12"/>
      <c r="AC190" s="13"/>
    </row>
    <row r="191" spans="1:29" x14ac:dyDescent="0.35">
      <c r="A191" s="15" t="s">
        <v>2</v>
      </c>
      <c r="B191" s="15"/>
      <c r="C191" s="12">
        <v>162780.92000000001</v>
      </c>
      <c r="D191" s="12"/>
      <c r="E191" s="12">
        <v>1197552.94</v>
      </c>
      <c r="F191" s="12"/>
      <c r="G191" s="12">
        <v>2184693.04</v>
      </c>
      <c r="H191" s="12"/>
      <c r="I191" s="12">
        <v>3194587.31</v>
      </c>
      <c r="J191" s="12"/>
      <c r="K191" s="12">
        <v>3678897.92</v>
      </c>
      <c r="L191" s="12"/>
      <c r="M191" s="12">
        <v>2997096.54</v>
      </c>
      <c r="N191" s="12"/>
      <c r="O191" s="12">
        <v>2278538.88</v>
      </c>
      <c r="P191" s="12"/>
      <c r="Q191" s="12">
        <v>1721972.74</v>
      </c>
      <c r="R191" s="12"/>
      <c r="S191" s="12">
        <v>1082134.8799999999</v>
      </c>
      <c r="T191" s="12"/>
      <c r="U191" s="51">
        <v>0</v>
      </c>
      <c r="V191" s="12"/>
      <c r="W191" s="12">
        <v>0</v>
      </c>
      <c r="X191" s="12"/>
      <c r="Y191" s="51">
        <v>32010.080000000002</v>
      </c>
      <c r="Z191" s="21"/>
      <c r="AA191" s="12">
        <f>SUM(C191:Z191)</f>
        <v>18530265.249999993</v>
      </c>
      <c r="AB191" s="12">
        <f t="shared" si="42"/>
        <v>18530265.249999993</v>
      </c>
      <c r="AC191" s="13"/>
    </row>
    <row r="192" spans="1:29" x14ac:dyDescent="0.35">
      <c r="A192" s="15" t="s">
        <v>5</v>
      </c>
      <c r="B192" s="15"/>
      <c r="C192" s="12">
        <v>45468.6</v>
      </c>
      <c r="D192" s="12"/>
      <c r="E192" s="12">
        <v>282384.28000000003</v>
      </c>
      <c r="F192" s="12"/>
      <c r="G192" s="12">
        <v>459548.33</v>
      </c>
      <c r="H192" s="12"/>
      <c r="I192" s="12">
        <v>194829.46</v>
      </c>
      <c r="J192" s="12"/>
      <c r="K192" s="12">
        <v>302457.8</v>
      </c>
      <c r="L192" s="12"/>
      <c r="M192" s="12">
        <v>217869.54</v>
      </c>
      <c r="N192" s="12"/>
      <c r="O192" s="12">
        <v>281752.55</v>
      </c>
      <c r="P192" s="12"/>
      <c r="Q192" s="12">
        <v>12865.39</v>
      </c>
      <c r="R192" s="12"/>
      <c r="S192" s="12">
        <v>35837.769999999997</v>
      </c>
      <c r="T192" s="12"/>
      <c r="U192" s="51">
        <v>0</v>
      </c>
      <c r="V192" s="12"/>
      <c r="W192" s="12">
        <v>0</v>
      </c>
      <c r="X192" s="12"/>
      <c r="Y192" s="51">
        <v>-7071.9</v>
      </c>
      <c r="Z192" s="21"/>
      <c r="AA192" s="12">
        <f>SUM(C192:Z192)</f>
        <v>1825941.82</v>
      </c>
      <c r="AB192" s="12">
        <f t="shared" si="42"/>
        <v>1825941.82</v>
      </c>
      <c r="AC192" s="13"/>
    </row>
    <row r="193" spans="1:29" x14ac:dyDescent="0.35">
      <c r="A193" s="15" t="s">
        <v>10</v>
      </c>
      <c r="B193" s="15"/>
      <c r="C193" s="12">
        <v>15459.32</v>
      </c>
      <c r="D193" s="12"/>
      <c r="E193" s="12">
        <v>96010.66</v>
      </c>
      <c r="F193" s="12"/>
      <c r="G193" s="12">
        <v>156246.43</v>
      </c>
      <c r="H193" s="12"/>
      <c r="I193" s="12">
        <v>66242.02</v>
      </c>
      <c r="J193" s="12"/>
      <c r="K193" s="12">
        <v>102835.65</v>
      </c>
      <c r="L193" s="12"/>
      <c r="M193" s="12">
        <v>74075.64</v>
      </c>
      <c r="N193" s="12"/>
      <c r="O193" s="12">
        <v>95795.87</v>
      </c>
      <c r="P193" s="12"/>
      <c r="Q193" s="12">
        <v>4374.2299999999996</v>
      </c>
      <c r="R193" s="12"/>
      <c r="S193" s="12">
        <v>12184.84</v>
      </c>
      <c r="T193" s="12"/>
      <c r="U193" s="51">
        <v>0</v>
      </c>
      <c r="V193" s="12"/>
      <c r="W193" s="12">
        <v>0</v>
      </c>
      <c r="X193" s="12"/>
      <c r="Y193" s="51">
        <v>-2404.4499999999998</v>
      </c>
      <c r="Z193" s="21"/>
      <c r="AA193" s="12">
        <f>SUM(C193:Z193)</f>
        <v>620820.21000000008</v>
      </c>
      <c r="AB193" s="12">
        <f t="shared" si="42"/>
        <v>620820.21000000008</v>
      </c>
      <c r="AC193" s="13"/>
    </row>
    <row r="194" spans="1:29" x14ac:dyDescent="0.35">
      <c r="A194" s="17" t="s">
        <v>7</v>
      </c>
      <c r="B194" s="15"/>
      <c r="C194" s="12">
        <v>909.37</v>
      </c>
      <c r="D194" s="12"/>
      <c r="E194" s="12">
        <v>5647.69</v>
      </c>
      <c r="F194" s="12"/>
      <c r="G194" s="12">
        <v>9190.9699999999993</v>
      </c>
      <c r="H194" s="12"/>
      <c r="I194" s="12">
        <v>3896.59</v>
      </c>
      <c r="J194" s="12"/>
      <c r="K194" s="12">
        <v>6049.16</v>
      </c>
      <c r="L194" s="12"/>
      <c r="M194" s="12">
        <v>4357.3900000000003</v>
      </c>
      <c r="N194" s="12"/>
      <c r="O194" s="12">
        <v>5635.05</v>
      </c>
      <c r="P194" s="12"/>
      <c r="Q194" s="12">
        <v>257.31</v>
      </c>
      <c r="R194" s="12"/>
      <c r="S194" s="12">
        <v>716.76</v>
      </c>
      <c r="T194" s="12"/>
      <c r="U194" s="51">
        <v>0</v>
      </c>
      <c r="V194" s="12"/>
      <c r="W194" s="12">
        <v>0</v>
      </c>
      <c r="X194" s="12"/>
      <c r="Y194" s="51">
        <v>-141.44</v>
      </c>
      <c r="Z194" s="21"/>
      <c r="AA194" s="12">
        <f>SUM(C194:Z194)</f>
        <v>36518.85</v>
      </c>
      <c r="AB194" s="12">
        <f t="shared" si="42"/>
        <v>36518.85</v>
      </c>
      <c r="AC194" s="13"/>
    </row>
    <row r="195" spans="1:29" x14ac:dyDescent="0.35">
      <c r="A195" s="45" t="s">
        <v>9</v>
      </c>
      <c r="B195" s="15"/>
      <c r="C195" s="12"/>
      <c r="D195" s="12"/>
      <c r="E195" s="12"/>
      <c r="F195" s="12"/>
      <c r="G195" s="12"/>
      <c r="H195" s="12"/>
      <c r="I195" s="12"/>
      <c r="J195" s="12"/>
      <c r="K195" s="12"/>
      <c r="L195" s="12"/>
      <c r="M195" s="12"/>
      <c r="N195" s="12"/>
      <c r="O195" s="12"/>
      <c r="P195" s="12"/>
      <c r="Q195" s="12"/>
      <c r="R195" s="12"/>
      <c r="S195" s="12"/>
      <c r="T195" s="12"/>
      <c r="U195" s="51"/>
      <c r="V195" s="12"/>
      <c r="W195" s="12"/>
      <c r="X195" s="12"/>
      <c r="Y195" s="51"/>
      <c r="Z195" s="21"/>
      <c r="AA195" s="12"/>
      <c r="AB195" s="12"/>
      <c r="AC195" s="13"/>
    </row>
    <row r="196" spans="1:29" x14ac:dyDescent="0.35">
      <c r="A196" s="15" t="s">
        <v>2</v>
      </c>
      <c r="B196" s="15"/>
      <c r="C196" s="12">
        <v>0</v>
      </c>
      <c r="D196" s="12"/>
      <c r="E196" s="12">
        <v>0</v>
      </c>
      <c r="F196" s="12"/>
      <c r="G196" s="12">
        <v>0</v>
      </c>
      <c r="H196" s="12"/>
      <c r="I196" s="12">
        <v>0</v>
      </c>
      <c r="J196" s="12"/>
      <c r="K196" s="12">
        <v>0</v>
      </c>
      <c r="L196" s="12"/>
      <c r="M196" s="12">
        <v>129555.65</v>
      </c>
      <c r="N196" s="12"/>
      <c r="O196" s="12">
        <v>1152943.51</v>
      </c>
      <c r="P196" s="12"/>
      <c r="Q196" s="12">
        <v>1423221.55</v>
      </c>
      <c r="R196" s="12"/>
      <c r="S196" s="12">
        <v>483428.66</v>
      </c>
      <c r="T196" s="12"/>
      <c r="U196" s="51">
        <v>97106.54</v>
      </c>
      <c r="V196" s="12"/>
      <c r="W196" s="12">
        <v>265938.28999999998</v>
      </c>
      <c r="X196" s="12"/>
      <c r="Y196" s="51">
        <v>229710.64</v>
      </c>
      <c r="Z196" s="21"/>
      <c r="AA196" s="12">
        <f t="shared" ref="AA196:AA201" si="43">SUM(C196:Z196)</f>
        <v>3781904.8400000003</v>
      </c>
      <c r="AB196" s="12">
        <f t="shared" si="42"/>
        <v>3781904.8400000003</v>
      </c>
      <c r="AC196" s="13"/>
    </row>
    <row r="197" spans="1:29" x14ac:dyDescent="0.35">
      <c r="A197" s="15" t="s">
        <v>3</v>
      </c>
      <c r="B197" s="15"/>
      <c r="C197" s="12">
        <v>0</v>
      </c>
      <c r="D197" s="12"/>
      <c r="E197" s="12">
        <v>0</v>
      </c>
      <c r="F197" s="12"/>
      <c r="G197" s="12">
        <v>0</v>
      </c>
      <c r="H197" s="12"/>
      <c r="I197" s="12">
        <v>0</v>
      </c>
      <c r="J197" s="12"/>
      <c r="K197" s="12">
        <v>0</v>
      </c>
      <c r="L197" s="12"/>
      <c r="M197" s="12">
        <v>33570</v>
      </c>
      <c r="N197" s="12"/>
      <c r="O197" s="12">
        <v>55789.919999999998</v>
      </c>
      <c r="P197" s="12"/>
      <c r="Q197" s="12">
        <v>37257.71</v>
      </c>
      <c r="R197" s="12"/>
      <c r="S197" s="12">
        <v>40542.449999999997</v>
      </c>
      <c r="T197" s="12"/>
      <c r="U197" s="51">
        <v>-3113.96</v>
      </c>
      <c r="V197" s="12"/>
      <c r="W197" s="12">
        <v>7216.47</v>
      </c>
      <c r="X197" s="12"/>
      <c r="Y197" s="51">
        <v>17651.73</v>
      </c>
      <c r="Z197" s="21"/>
      <c r="AA197" s="12">
        <f t="shared" si="43"/>
        <v>188914.32000000004</v>
      </c>
      <c r="AB197" s="12">
        <f t="shared" si="42"/>
        <v>188914.32000000004</v>
      </c>
      <c r="AC197" s="13"/>
    </row>
    <row r="198" spans="1:29" x14ac:dyDescent="0.35">
      <c r="A198" s="15" t="s">
        <v>4</v>
      </c>
      <c r="B198" s="15"/>
      <c r="C198" s="12">
        <v>0</v>
      </c>
      <c r="D198" s="12"/>
      <c r="E198" s="12">
        <v>0</v>
      </c>
      <c r="F198" s="12"/>
      <c r="G198" s="12">
        <v>0</v>
      </c>
      <c r="H198" s="12"/>
      <c r="I198" s="12">
        <v>0</v>
      </c>
      <c r="J198" s="12"/>
      <c r="K198" s="12">
        <v>0</v>
      </c>
      <c r="L198" s="12"/>
      <c r="M198" s="12">
        <v>4870</v>
      </c>
      <c r="N198" s="12"/>
      <c r="O198" s="12">
        <v>11072.78</v>
      </c>
      <c r="P198" s="12"/>
      <c r="Q198" s="12">
        <v>0</v>
      </c>
      <c r="R198" s="12"/>
      <c r="S198" s="12">
        <v>16637.41</v>
      </c>
      <c r="T198" s="12"/>
      <c r="U198" s="51">
        <v>952</v>
      </c>
      <c r="V198" s="12"/>
      <c r="W198" s="12">
        <v>1180</v>
      </c>
      <c r="X198" s="12"/>
      <c r="Y198" s="51">
        <v>1132.25</v>
      </c>
      <c r="Z198" s="21"/>
      <c r="AA198" s="12">
        <f t="shared" si="43"/>
        <v>35844.44</v>
      </c>
      <c r="AB198" s="12">
        <f t="shared" si="42"/>
        <v>35844.44</v>
      </c>
      <c r="AC198" s="13"/>
    </row>
    <row r="199" spans="1:29" x14ac:dyDescent="0.35">
      <c r="A199" s="15" t="s">
        <v>5</v>
      </c>
      <c r="B199" s="15"/>
      <c r="C199" s="12">
        <v>0</v>
      </c>
      <c r="D199" s="12"/>
      <c r="E199" s="12">
        <v>0</v>
      </c>
      <c r="F199" s="12"/>
      <c r="G199" s="12">
        <v>0</v>
      </c>
      <c r="H199" s="12"/>
      <c r="I199" s="12">
        <v>0</v>
      </c>
      <c r="J199" s="12"/>
      <c r="K199" s="12">
        <v>0</v>
      </c>
      <c r="L199" s="12"/>
      <c r="M199" s="12">
        <v>28700</v>
      </c>
      <c r="N199" s="12"/>
      <c r="O199" s="12">
        <v>44717.14</v>
      </c>
      <c r="P199" s="12"/>
      <c r="Q199" s="12">
        <v>37257.71</v>
      </c>
      <c r="R199" s="12"/>
      <c r="S199" s="12">
        <v>23905.040000000001</v>
      </c>
      <c r="T199" s="12"/>
      <c r="U199" s="51">
        <v>-4065.96</v>
      </c>
      <c r="V199" s="12"/>
      <c r="W199" s="12">
        <v>6036.47</v>
      </c>
      <c r="X199" s="12"/>
      <c r="Y199" s="51">
        <v>16519.48</v>
      </c>
      <c r="Z199" s="21"/>
      <c r="AA199" s="12">
        <f t="shared" si="43"/>
        <v>153069.88</v>
      </c>
      <c r="AB199" s="12">
        <f>AA199</f>
        <v>153069.88</v>
      </c>
      <c r="AC199" s="13"/>
    </row>
    <row r="200" spans="1:29" x14ac:dyDescent="0.35">
      <c r="A200" s="15" t="s">
        <v>10</v>
      </c>
      <c r="B200" s="15"/>
      <c r="C200" s="12">
        <v>0</v>
      </c>
      <c r="D200" s="12"/>
      <c r="E200" s="12">
        <v>0</v>
      </c>
      <c r="F200" s="12"/>
      <c r="G200" s="12">
        <v>0</v>
      </c>
      <c r="H200" s="12"/>
      <c r="I200" s="12">
        <v>0</v>
      </c>
      <c r="J200" s="12"/>
      <c r="K200" s="12">
        <v>0</v>
      </c>
      <c r="L200" s="12"/>
      <c r="M200" s="12">
        <v>9758</v>
      </c>
      <c r="N200" s="12"/>
      <c r="O200" s="12">
        <v>15203.83</v>
      </c>
      <c r="P200" s="12"/>
      <c r="Q200" s="12">
        <v>12667.62</v>
      </c>
      <c r="R200" s="12"/>
      <c r="S200" s="12">
        <v>8127.71</v>
      </c>
      <c r="T200" s="12"/>
      <c r="U200" s="51">
        <v>-1382.43</v>
      </c>
      <c r="V200" s="12"/>
      <c r="W200" s="12">
        <v>2052.4</v>
      </c>
      <c r="X200" s="12"/>
      <c r="Y200" s="51">
        <v>5616.62</v>
      </c>
      <c r="Z200" s="21"/>
      <c r="AA200" s="12">
        <f t="shared" si="43"/>
        <v>52043.750000000007</v>
      </c>
      <c r="AB200" s="12">
        <f t="shared" si="42"/>
        <v>52043.750000000007</v>
      </c>
      <c r="AC200" s="13"/>
    </row>
    <row r="201" spans="1:29" x14ac:dyDescent="0.35">
      <c r="A201" s="17" t="s">
        <v>7</v>
      </c>
      <c r="B201" s="15"/>
      <c r="C201" s="12">
        <v>0</v>
      </c>
      <c r="D201" s="12"/>
      <c r="E201" s="12">
        <v>0</v>
      </c>
      <c r="F201" s="12"/>
      <c r="G201" s="12">
        <v>0</v>
      </c>
      <c r="H201" s="12"/>
      <c r="I201" s="12">
        <v>0</v>
      </c>
      <c r="J201" s="12"/>
      <c r="K201" s="12">
        <v>0</v>
      </c>
      <c r="L201" s="12"/>
      <c r="M201" s="12">
        <v>574</v>
      </c>
      <c r="N201" s="12"/>
      <c r="O201" s="12">
        <v>894.34</v>
      </c>
      <c r="P201" s="12"/>
      <c r="Q201" s="12">
        <v>745.15</v>
      </c>
      <c r="R201" s="12"/>
      <c r="S201" s="12">
        <v>478.1</v>
      </c>
      <c r="T201" s="12"/>
      <c r="U201" s="51">
        <v>-81.319999999999993</v>
      </c>
      <c r="V201" s="12"/>
      <c r="W201" s="12">
        <v>120.73</v>
      </c>
      <c r="X201" s="12"/>
      <c r="Y201" s="51">
        <v>330.39</v>
      </c>
      <c r="Z201" s="21"/>
      <c r="AA201" s="12">
        <f t="shared" si="43"/>
        <v>3061.39</v>
      </c>
      <c r="AB201" s="12">
        <f t="shared" si="42"/>
        <v>3061.39</v>
      </c>
      <c r="AC201" s="13"/>
    </row>
    <row r="202" spans="1:29" x14ac:dyDescent="0.35">
      <c r="A202" s="17"/>
      <c r="B202" s="15"/>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21"/>
      <c r="AA202" s="12"/>
      <c r="AB202" s="12"/>
      <c r="AC202" s="13"/>
    </row>
    <row r="203" spans="1:29" x14ac:dyDescent="0.35">
      <c r="A203" s="17"/>
      <c r="B203" s="15"/>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21"/>
      <c r="AA203" s="12"/>
      <c r="AB203" s="12"/>
      <c r="AC203" s="13"/>
    </row>
    <row r="204" spans="1:29" x14ac:dyDescent="0.35">
      <c r="A204" s="11" t="s">
        <v>35</v>
      </c>
      <c r="B204" s="15"/>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21"/>
      <c r="AA204" s="12"/>
      <c r="AB204" s="12"/>
      <c r="AC204" s="13"/>
    </row>
    <row r="205" spans="1:29" x14ac:dyDescent="0.35">
      <c r="A205" s="45" t="s">
        <v>1</v>
      </c>
      <c r="B205" s="15"/>
      <c r="C205" s="12"/>
      <c r="D205" s="12"/>
      <c r="E205" s="12"/>
      <c r="F205" s="12"/>
      <c r="H205" s="12"/>
      <c r="J205" s="12"/>
      <c r="K205" s="12"/>
      <c r="L205" s="12"/>
      <c r="M205" s="12"/>
      <c r="N205" s="12"/>
      <c r="O205" s="12"/>
      <c r="P205" s="12"/>
      <c r="Q205" s="12"/>
      <c r="R205" s="12"/>
      <c r="S205" s="12"/>
      <c r="T205" s="12"/>
      <c r="U205" s="12"/>
      <c r="V205" s="12"/>
      <c r="W205" s="12"/>
      <c r="X205" s="12"/>
      <c r="Y205" s="12"/>
      <c r="Z205" s="21"/>
      <c r="AA205" s="12"/>
      <c r="AB205" s="12"/>
      <c r="AC205" s="13"/>
    </row>
    <row r="206" spans="1:29" x14ac:dyDescent="0.35">
      <c r="A206" s="15" t="s">
        <v>2</v>
      </c>
      <c r="B206" s="15"/>
      <c r="C206" s="12">
        <v>0</v>
      </c>
      <c r="D206" s="12"/>
      <c r="E206" s="12">
        <v>0</v>
      </c>
      <c r="F206" s="12"/>
      <c r="G206" s="12">
        <v>4901839.8100000005</v>
      </c>
      <c r="H206" s="12"/>
      <c r="I206" s="12">
        <v>10387319.91</v>
      </c>
      <c r="J206" s="12"/>
      <c r="K206" s="12">
        <v>14363803.869999999</v>
      </c>
      <c r="L206" s="12"/>
      <c r="M206" s="12">
        <v>17191654.84</v>
      </c>
      <c r="N206" s="12"/>
      <c r="O206" s="12">
        <v>16109696.49</v>
      </c>
      <c r="P206" s="12"/>
      <c r="Q206" s="51">
        <v>14974947.449999999</v>
      </c>
      <c r="R206" s="12"/>
      <c r="S206" s="12">
        <v>6919120.2200000007</v>
      </c>
      <c r="T206" s="12"/>
      <c r="U206" s="12">
        <v>3703923.09</v>
      </c>
      <c r="V206" s="12"/>
      <c r="W206" s="12">
        <v>7777697.8099999996</v>
      </c>
      <c r="X206" s="12"/>
      <c r="Y206" s="51">
        <v>8445723.9499999993</v>
      </c>
      <c r="Z206" s="21"/>
      <c r="AA206" s="12">
        <f>SUM(C206:Z206)</f>
        <v>104775727.44000001</v>
      </c>
      <c r="AB206" s="12">
        <f>AA206</f>
        <v>104775727.44000001</v>
      </c>
      <c r="AC206" s="13"/>
    </row>
    <row r="207" spans="1:29" x14ac:dyDescent="0.35">
      <c r="A207" s="15" t="s">
        <v>3</v>
      </c>
      <c r="B207" s="15"/>
      <c r="C207" s="12">
        <v>0</v>
      </c>
      <c r="D207" s="12"/>
      <c r="E207" s="12">
        <v>0</v>
      </c>
      <c r="F207" s="12"/>
      <c r="G207" s="12">
        <v>314501.95999999996</v>
      </c>
      <c r="H207" s="12"/>
      <c r="I207" s="12">
        <v>678108.98</v>
      </c>
      <c r="J207" s="12"/>
      <c r="K207" s="12">
        <v>1289642.6900000002</v>
      </c>
      <c r="L207" s="12"/>
      <c r="M207" s="12">
        <v>851272.49</v>
      </c>
      <c r="N207" s="12"/>
      <c r="O207" s="12">
        <v>1556686.7</v>
      </c>
      <c r="P207" s="12"/>
      <c r="Q207" s="51">
        <v>732746.93</v>
      </c>
      <c r="R207" s="12"/>
      <c r="S207" s="12">
        <v>263171.95</v>
      </c>
      <c r="T207" s="12"/>
      <c r="U207" s="12">
        <v>250634.59</v>
      </c>
      <c r="V207" s="12"/>
      <c r="W207" s="12">
        <v>416825.04</v>
      </c>
      <c r="X207" s="12"/>
      <c r="Y207" s="51">
        <v>759472.86</v>
      </c>
      <c r="Z207" s="21"/>
      <c r="AA207" s="12">
        <f t="shared" ref="AA207:AA211" si="44">SUM(C207:Z207)</f>
        <v>7113064.1900000004</v>
      </c>
      <c r="AB207" s="12">
        <f t="shared" ref="AB207:AB223" si="45">AA207</f>
        <v>7113064.1900000004</v>
      </c>
      <c r="AC207" s="13"/>
    </row>
    <row r="208" spans="1:29" x14ac:dyDescent="0.35">
      <c r="A208" s="15" t="s">
        <v>4</v>
      </c>
      <c r="B208" s="15"/>
      <c r="C208" s="12">
        <v>0</v>
      </c>
      <c r="D208" s="12"/>
      <c r="E208" s="12">
        <v>0</v>
      </c>
      <c r="F208" s="12"/>
      <c r="G208" s="12">
        <v>37308.29</v>
      </c>
      <c r="H208" s="12"/>
      <c r="I208" s="12">
        <v>168855.74</v>
      </c>
      <c r="J208" s="12"/>
      <c r="K208" s="12">
        <v>215920.61</v>
      </c>
      <c r="L208" s="12"/>
      <c r="M208" s="12">
        <v>464923.28</v>
      </c>
      <c r="N208" s="12"/>
      <c r="O208" s="12">
        <v>183989.74</v>
      </c>
      <c r="P208" s="12"/>
      <c r="Q208" s="51">
        <v>213439.55</v>
      </c>
      <c r="R208" s="12"/>
      <c r="S208" s="12">
        <v>89814.3</v>
      </c>
      <c r="T208" s="12"/>
      <c r="U208" s="12">
        <v>21165.54</v>
      </c>
      <c r="V208" s="12"/>
      <c r="W208" s="12">
        <v>64948.959999999999</v>
      </c>
      <c r="X208" s="12"/>
      <c r="Y208" s="51">
        <v>79452.09</v>
      </c>
      <c r="Z208" s="21"/>
      <c r="AA208" s="12">
        <f t="shared" si="44"/>
        <v>1539818.1000000003</v>
      </c>
      <c r="AB208" s="12">
        <f t="shared" si="45"/>
        <v>1539818.1000000003</v>
      </c>
      <c r="AC208" s="13"/>
    </row>
    <row r="209" spans="1:29" x14ac:dyDescent="0.35">
      <c r="A209" s="15" t="s">
        <v>5</v>
      </c>
      <c r="B209" s="15"/>
      <c r="C209" s="12">
        <v>0</v>
      </c>
      <c r="D209" s="12"/>
      <c r="E209" s="12">
        <v>0</v>
      </c>
      <c r="F209" s="12"/>
      <c r="G209" s="12">
        <v>277193.67000000004</v>
      </c>
      <c r="H209" s="12"/>
      <c r="I209" s="12">
        <v>509253.24</v>
      </c>
      <c r="J209" s="12"/>
      <c r="K209" s="12">
        <v>1073722.08</v>
      </c>
      <c r="L209" s="12"/>
      <c r="M209" s="12">
        <v>386349.20999999996</v>
      </c>
      <c r="N209" s="12"/>
      <c r="O209" s="12">
        <v>1372696.96</v>
      </c>
      <c r="P209" s="12"/>
      <c r="Q209" s="51">
        <v>519307.38</v>
      </c>
      <c r="R209" s="12"/>
      <c r="S209" s="12">
        <v>173357.65</v>
      </c>
      <c r="T209" s="12"/>
      <c r="U209" s="12">
        <v>229469.05</v>
      </c>
      <c r="V209" s="12"/>
      <c r="W209" s="12">
        <v>351876.08</v>
      </c>
      <c r="X209" s="12"/>
      <c r="Y209" s="51">
        <v>680020.77</v>
      </c>
      <c r="Z209" s="21"/>
      <c r="AA209" s="12">
        <f t="shared" si="44"/>
        <v>5573246.0899999999</v>
      </c>
      <c r="AB209" s="12">
        <f t="shared" si="45"/>
        <v>5573246.0899999999</v>
      </c>
      <c r="AC209" s="13"/>
    </row>
    <row r="210" spans="1:29" x14ac:dyDescent="0.35">
      <c r="A210" s="15" t="s">
        <v>6</v>
      </c>
      <c r="B210" s="15"/>
      <c r="C210" s="12">
        <v>0</v>
      </c>
      <c r="D210" s="12"/>
      <c r="E210" s="12">
        <v>0</v>
      </c>
      <c r="F210" s="12"/>
      <c r="G210" s="12">
        <v>94245.85</v>
      </c>
      <c r="H210" s="12"/>
      <c r="I210" s="12">
        <v>173146.1</v>
      </c>
      <c r="J210" s="12"/>
      <c r="K210" s="12">
        <v>365065.51</v>
      </c>
      <c r="L210" s="12"/>
      <c r="M210" s="12">
        <v>131358.73000000001</v>
      </c>
      <c r="N210" s="12"/>
      <c r="O210" s="12">
        <v>466716.96</v>
      </c>
      <c r="P210" s="12"/>
      <c r="Q210" s="51">
        <v>176564.5</v>
      </c>
      <c r="R210" s="12"/>
      <c r="S210" s="12">
        <v>58941.61</v>
      </c>
      <c r="T210" s="12"/>
      <c r="U210" s="12">
        <v>78019.48</v>
      </c>
      <c r="V210" s="12"/>
      <c r="W210" s="12">
        <v>119637.87000000001</v>
      </c>
      <c r="X210" s="12"/>
      <c r="Y210" s="51">
        <v>231207.06</v>
      </c>
      <c r="Z210" s="21"/>
      <c r="AA210" s="12">
        <f t="shared" si="44"/>
        <v>1894903.6700000002</v>
      </c>
      <c r="AB210" s="12">
        <f t="shared" si="45"/>
        <v>1894903.6700000002</v>
      </c>
      <c r="AC210" s="13"/>
    </row>
    <row r="211" spans="1:29" x14ac:dyDescent="0.35">
      <c r="A211" s="17" t="s">
        <v>7</v>
      </c>
      <c r="B211" s="15"/>
      <c r="C211" s="12">
        <v>0</v>
      </c>
      <c r="D211" s="12"/>
      <c r="E211" s="12">
        <v>0</v>
      </c>
      <c r="F211" s="12"/>
      <c r="G211" s="12">
        <v>5543.87</v>
      </c>
      <c r="H211" s="12"/>
      <c r="I211" s="12">
        <v>10185.07</v>
      </c>
      <c r="J211" s="12"/>
      <c r="K211" s="12">
        <v>21474.44</v>
      </c>
      <c r="L211" s="12"/>
      <c r="M211" s="12">
        <v>7726.98</v>
      </c>
      <c r="N211" s="12"/>
      <c r="O211" s="12">
        <v>27453.94</v>
      </c>
      <c r="P211" s="12"/>
      <c r="Q211" s="51">
        <v>10386.140000000001</v>
      </c>
      <c r="R211" s="12"/>
      <c r="S211" s="12">
        <v>3467.16</v>
      </c>
      <c r="T211" s="12"/>
      <c r="U211" s="12">
        <v>4589.38</v>
      </c>
      <c r="V211" s="12"/>
      <c r="W211" s="12">
        <v>7037.52</v>
      </c>
      <c r="X211" s="12"/>
      <c r="Y211" s="51">
        <v>13600.42</v>
      </c>
      <c r="Z211" s="21"/>
      <c r="AA211" s="12">
        <f t="shared" si="44"/>
        <v>111464.92000000001</v>
      </c>
      <c r="AB211" s="12">
        <f t="shared" si="45"/>
        <v>111464.92000000001</v>
      </c>
      <c r="AC211" s="13"/>
    </row>
    <row r="212" spans="1:29" x14ac:dyDescent="0.35">
      <c r="A212" s="45" t="s">
        <v>8</v>
      </c>
      <c r="B212" s="15"/>
      <c r="C212" s="12"/>
      <c r="D212" s="12"/>
      <c r="E212" s="12"/>
      <c r="F212" s="12"/>
      <c r="G212" s="12"/>
      <c r="H212" s="12"/>
      <c r="I212" s="12"/>
      <c r="J212" s="12"/>
      <c r="K212" s="12"/>
      <c r="L212" s="12"/>
      <c r="M212" s="12"/>
      <c r="N212" s="12"/>
      <c r="O212" s="12"/>
      <c r="P212" s="12"/>
      <c r="Q212" s="51"/>
      <c r="R212" s="12"/>
      <c r="S212" s="12"/>
      <c r="T212" s="12"/>
      <c r="U212" s="12"/>
      <c r="V212" s="12"/>
      <c r="W212" s="12"/>
      <c r="X212" s="12"/>
      <c r="Y212" s="51"/>
      <c r="Z212" s="21"/>
      <c r="AA212" s="12"/>
      <c r="AB212" s="12"/>
      <c r="AC212" s="13"/>
    </row>
    <row r="213" spans="1:29" x14ac:dyDescent="0.35">
      <c r="A213" s="15" t="s">
        <v>2</v>
      </c>
      <c r="B213" s="15"/>
      <c r="C213" s="12">
        <v>0</v>
      </c>
      <c r="D213" s="12"/>
      <c r="E213" s="12">
        <v>0</v>
      </c>
      <c r="F213" s="12"/>
      <c r="G213" s="12">
        <v>372418.45</v>
      </c>
      <c r="H213" s="12"/>
      <c r="I213" s="12">
        <v>641086.55000000005</v>
      </c>
      <c r="J213" s="12"/>
      <c r="K213" s="12">
        <v>868025.7</v>
      </c>
      <c r="L213" s="12"/>
      <c r="M213" s="12">
        <v>814931.09</v>
      </c>
      <c r="N213" s="12"/>
      <c r="O213" s="12">
        <v>732813.49</v>
      </c>
      <c r="P213" s="12"/>
      <c r="Q213" s="51">
        <v>589667.67000000004</v>
      </c>
      <c r="R213" s="12"/>
      <c r="S213" s="12">
        <v>769908.82</v>
      </c>
      <c r="T213" s="12"/>
      <c r="U213" s="12">
        <v>0</v>
      </c>
      <c r="V213" s="12"/>
      <c r="W213" s="12">
        <v>0</v>
      </c>
      <c r="X213" s="12"/>
      <c r="Y213" s="51">
        <v>8245</v>
      </c>
      <c r="Z213" s="21"/>
      <c r="AA213" s="12">
        <f>SUM(C213:Z213)</f>
        <v>4797096.7700000005</v>
      </c>
      <c r="AB213" s="12">
        <f t="shared" si="45"/>
        <v>4797096.7700000005</v>
      </c>
      <c r="AC213" s="13"/>
    </row>
    <row r="214" spans="1:29" x14ac:dyDescent="0.35">
      <c r="A214" s="15" t="s">
        <v>5</v>
      </c>
      <c r="B214" s="15"/>
      <c r="C214" s="12">
        <v>0</v>
      </c>
      <c r="D214" s="12"/>
      <c r="E214" s="12">
        <v>0</v>
      </c>
      <c r="F214" s="12"/>
      <c r="G214" s="12">
        <v>45657.97</v>
      </c>
      <c r="H214" s="12"/>
      <c r="I214" s="12">
        <v>86799.91</v>
      </c>
      <c r="J214" s="12"/>
      <c r="K214" s="12">
        <v>43679.85</v>
      </c>
      <c r="L214" s="12"/>
      <c r="M214" s="12">
        <v>73691.53</v>
      </c>
      <c r="N214" s="12"/>
      <c r="O214" s="12">
        <v>81772.13</v>
      </c>
      <c r="P214" s="12"/>
      <c r="Q214" s="51">
        <v>-20064.75</v>
      </c>
      <c r="R214" s="12"/>
      <c r="S214" s="12">
        <v>14344.28</v>
      </c>
      <c r="T214" s="12"/>
      <c r="U214" s="12">
        <v>0</v>
      </c>
      <c r="V214" s="12"/>
      <c r="W214" s="51">
        <v>-68</v>
      </c>
      <c r="X214" s="12"/>
      <c r="Y214" s="51">
        <v>-3196.71</v>
      </c>
      <c r="Z214" s="21"/>
      <c r="AA214" s="12">
        <f>SUM(C214:Z214)</f>
        <v>322616.21000000002</v>
      </c>
      <c r="AB214" s="12">
        <f t="shared" si="45"/>
        <v>322616.21000000002</v>
      </c>
      <c r="AC214" s="13"/>
    </row>
    <row r="215" spans="1:29" x14ac:dyDescent="0.35">
      <c r="A215" s="15" t="s">
        <v>10</v>
      </c>
      <c r="B215" s="15"/>
      <c r="C215" s="12">
        <v>0</v>
      </c>
      <c r="D215" s="12"/>
      <c r="E215" s="12">
        <v>0</v>
      </c>
      <c r="F215" s="12"/>
      <c r="G215" s="12">
        <v>15523.71</v>
      </c>
      <c r="H215" s="12"/>
      <c r="I215" s="12">
        <v>29511.97</v>
      </c>
      <c r="J215" s="12"/>
      <c r="K215" s="12">
        <v>14851.15</v>
      </c>
      <c r="L215" s="12"/>
      <c r="M215" s="12">
        <v>25055.119999999999</v>
      </c>
      <c r="N215" s="12"/>
      <c r="O215" s="12">
        <v>27802.52</v>
      </c>
      <c r="P215" s="12"/>
      <c r="Q215" s="51">
        <v>-6822.02</v>
      </c>
      <c r="R215" s="12"/>
      <c r="S215" s="12">
        <v>4877.0600000000004</v>
      </c>
      <c r="T215" s="12"/>
      <c r="U215" s="12">
        <v>0</v>
      </c>
      <c r="V215" s="12"/>
      <c r="W215" s="51">
        <v>-23.12</v>
      </c>
      <c r="X215" s="12"/>
      <c r="Y215" s="51">
        <v>-1086.8800000000001</v>
      </c>
      <c r="Z215" s="21"/>
      <c r="AA215" s="12">
        <f>SUM(C215:Z215)</f>
        <v>109689.51</v>
      </c>
      <c r="AB215" s="12">
        <f t="shared" si="45"/>
        <v>109689.51</v>
      </c>
      <c r="AC215" s="13"/>
    </row>
    <row r="216" spans="1:29" x14ac:dyDescent="0.35">
      <c r="A216" s="17" t="s">
        <v>7</v>
      </c>
      <c r="B216" s="15"/>
      <c r="C216" s="12">
        <v>0</v>
      </c>
      <c r="D216" s="12"/>
      <c r="E216" s="12">
        <v>0</v>
      </c>
      <c r="F216" s="12"/>
      <c r="G216" s="12">
        <v>913.16</v>
      </c>
      <c r="H216" s="12"/>
      <c r="I216" s="12">
        <v>1736</v>
      </c>
      <c r="J216" s="12"/>
      <c r="K216" s="12">
        <v>873.6</v>
      </c>
      <c r="L216" s="12"/>
      <c r="M216" s="12">
        <v>1473.83</v>
      </c>
      <c r="N216" s="12"/>
      <c r="O216" s="12">
        <v>1635.44</v>
      </c>
      <c r="P216" s="12"/>
      <c r="Q216" s="51">
        <v>-401.3</v>
      </c>
      <c r="R216" s="12"/>
      <c r="S216" s="12">
        <v>286.89</v>
      </c>
      <c r="T216" s="12"/>
      <c r="U216" s="12">
        <v>0</v>
      </c>
      <c r="V216" s="12"/>
      <c r="W216" s="51">
        <v>-1.36</v>
      </c>
      <c r="X216" s="12"/>
      <c r="Y216" s="51">
        <v>-63.93</v>
      </c>
      <c r="Z216" s="21"/>
      <c r="AA216" s="12">
        <f>SUM(C216:Z216)</f>
        <v>6452.3300000000008</v>
      </c>
      <c r="AB216" s="12">
        <f t="shared" si="45"/>
        <v>6452.3300000000008</v>
      </c>
      <c r="AC216" s="13"/>
    </row>
    <row r="217" spans="1:29" x14ac:dyDescent="0.35">
      <c r="A217" s="45" t="s">
        <v>9</v>
      </c>
      <c r="B217" s="15"/>
      <c r="C217" s="12"/>
      <c r="D217" s="12"/>
      <c r="E217" s="12"/>
      <c r="F217" s="12"/>
      <c r="G217" s="12"/>
      <c r="H217" s="12"/>
      <c r="I217" s="12"/>
      <c r="J217" s="12"/>
      <c r="K217" s="12"/>
      <c r="L217" s="12"/>
      <c r="M217" s="12"/>
      <c r="N217" s="12"/>
      <c r="O217" s="12"/>
      <c r="P217" s="12"/>
      <c r="Q217" s="51"/>
      <c r="R217" s="12"/>
      <c r="S217" s="12"/>
      <c r="T217" s="12"/>
      <c r="U217" s="12"/>
      <c r="V217" s="12"/>
      <c r="W217" s="12"/>
      <c r="X217" s="12"/>
      <c r="Y217" s="51"/>
      <c r="Z217" s="21"/>
      <c r="AA217" s="12"/>
      <c r="AB217" s="12"/>
      <c r="AC217" s="13"/>
    </row>
    <row r="218" spans="1:29" x14ac:dyDescent="0.35">
      <c r="A218" s="15" t="s">
        <v>2</v>
      </c>
      <c r="B218" s="15"/>
      <c r="C218" s="12">
        <v>0</v>
      </c>
      <c r="D218" s="12"/>
      <c r="E218" s="12">
        <v>0</v>
      </c>
      <c r="F218" s="12"/>
      <c r="G218" s="12">
        <v>4529421.3600000003</v>
      </c>
      <c r="H218" s="12"/>
      <c r="I218" s="12">
        <v>9746233.3599999994</v>
      </c>
      <c r="J218" s="12"/>
      <c r="K218" s="12">
        <v>13495778.17</v>
      </c>
      <c r="L218" s="12"/>
      <c r="M218" s="12">
        <v>16376723.75</v>
      </c>
      <c r="N218" s="12"/>
      <c r="O218" s="12">
        <v>15376883</v>
      </c>
      <c r="P218" s="12"/>
      <c r="Q218" s="51">
        <v>14385279.779999999</v>
      </c>
      <c r="R218" s="12"/>
      <c r="S218" s="12">
        <v>6149211.4000000004</v>
      </c>
      <c r="T218" s="12"/>
      <c r="U218" s="12">
        <v>3703923.09</v>
      </c>
      <c r="V218" s="12"/>
      <c r="W218" s="12">
        <v>7777697.8099999996</v>
      </c>
      <c r="X218" s="12"/>
      <c r="Y218" s="51">
        <v>8437478.9499999993</v>
      </c>
      <c r="Z218" s="21"/>
      <c r="AA218" s="12">
        <f t="shared" ref="AA218:AA223" si="46">SUM(C218:Z218)</f>
        <v>99978630.670000017</v>
      </c>
      <c r="AB218" s="12">
        <f t="shared" si="45"/>
        <v>99978630.670000017</v>
      </c>
      <c r="AC218" s="13"/>
    </row>
    <row r="219" spans="1:29" x14ac:dyDescent="0.35">
      <c r="A219" s="15" t="s">
        <v>3</v>
      </c>
      <c r="B219" s="15"/>
      <c r="C219" s="12">
        <v>0</v>
      </c>
      <c r="D219" s="12"/>
      <c r="E219" s="12">
        <v>0</v>
      </c>
      <c r="F219" s="12"/>
      <c r="G219" s="12">
        <v>268843.99</v>
      </c>
      <c r="H219" s="12"/>
      <c r="I219" s="12">
        <v>591309.06999999995</v>
      </c>
      <c r="J219" s="12"/>
      <c r="K219" s="12">
        <v>1245962.8400000001</v>
      </c>
      <c r="L219" s="12"/>
      <c r="M219" s="12">
        <v>777580.96</v>
      </c>
      <c r="N219" s="12"/>
      <c r="O219" s="12">
        <v>1474914.57</v>
      </c>
      <c r="P219" s="12"/>
      <c r="Q219" s="51">
        <v>752811.68</v>
      </c>
      <c r="R219" s="12"/>
      <c r="S219" s="12">
        <v>248827.67</v>
      </c>
      <c r="T219" s="12"/>
      <c r="U219" s="12">
        <v>250634.59</v>
      </c>
      <c r="V219" s="12"/>
      <c r="W219" s="12">
        <v>416893.04</v>
      </c>
      <c r="X219" s="12"/>
      <c r="Y219" s="51">
        <v>762669.57</v>
      </c>
      <c r="Z219" s="21"/>
      <c r="AA219" s="12">
        <f t="shared" si="46"/>
        <v>6790447.9799999995</v>
      </c>
      <c r="AB219" s="12">
        <f t="shared" si="45"/>
        <v>6790447.9799999995</v>
      </c>
      <c r="AC219" s="13"/>
    </row>
    <row r="220" spans="1:29" x14ac:dyDescent="0.35">
      <c r="A220" s="15" t="s">
        <v>4</v>
      </c>
      <c r="B220" s="15"/>
      <c r="C220" s="12">
        <v>0</v>
      </c>
      <c r="D220" s="12"/>
      <c r="E220" s="12">
        <v>0</v>
      </c>
      <c r="F220" s="12"/>
      <c r="G220" s="12">
        <v>37308.29</v>
      </c>
      <c r="H220" s="12"/>
      <c r="I220" s="12">
        <v>168855.74</v>
      </c>
      <c r="J220" s="12"/>
      <c r="K220" s="12">
        <v>215920.61</v>
      </c>
      <c r="L220" s="12"/>
      <c r="M220" s="12">
        <v>464923.28</v>
      </c>
      <c r="N220" s="12"/>
      <c r="O220" s="12">
        <v>183989.74</v>
      </c>
      <c r="P220" s="12"/>
      <c r="Q220" s="51">
        <v>213439.55</v>
      </c>
      <c r="R220" s="12"/>
      <c r="S220" s="12">
        <v>89814.3</v>
      </c>
      <c r="T220" s="12"/>
      <c r="U220" s="12">
        <v>21165.54</v>
      </c>
      <c r="V220" s="12"/>
      <c r="W220" s="12">
        <v>64948.959999999999</v>
      </c>
      <c r="X220" s="12"/>
      <c r="Y220" s="51">
        <v>79452.09</v>
      </c>
      <c r="Z220" s="21"/>
      <c r="AA220" s="12">
        <f t="shared" si="46"/>
        <v>1539818.1000000003</v>
      </c>
      <c r="AB220" s="12">
        <f t="shared" si="45"/>
        <v>1539818.1000000003</v>
      </c>
      <c r="AC220" s="13"/>
    </row>
    <row r="221" spans="1:29" x14ac:dyDescent="0.35">
      <c r="A221" s="15" t="s">
        <v>5</v>
      </c>
      <c r="B221" s="15"/>
      <c r="C221" s="12">
        <v>0</v>
      </c>
      <c r="D221" s="12"/>
      <c r="E221" s="12">
        <v>0</v>
      </c>
      <c r="F221" s="12"/>
      <c r="G221" s="12">
        <v>231535.7</v>
      </c>
      <c r="H221" s="12"/>
      <c r="I221" s="12">
        <v>422453.33</v>
      </c>
      <c r="J221" s="12"/>
      <c r="K221" s="12">
        <v>1030042.23</v>
      </c>
      <c r="L221" s="12"/>
      <c r="M221" s="12">
        <v>312657.68</v>
      </c>
      <c r="N221" s="12"/>
      <c r="O221" s="12">
        <v>1290924.83</v>
      </c>
      <c r="P221" s="12"/>
      <c r="Q221" s="51">
        <v>539372.13</v>
      </c>
      <c r="R221" s="12"/>
      <c r="S221" s="12">
        <v>159013.37</v>
      </c>
      <c r="T221" s="12"/>
      <c r="U221" s="12">
        <v>229469.05</v>
      </c>
      <c r="V221" s="12"/>
      <c r="W221" s="12">
        <v>351944.08</v>
      </c>
      <c r="X221" s="12"/>
      <c r="Y221" s="51">
        <v>683217.48</v>
      </c>
      <c r="Z221" s="21"/>
      <c r="AA221" s="12">
        <f t="shared" si="46"/>
        <v>5250629.8800000008</v>
      </c>
      <c r="AB221" s="12">
        <f>AA221</f>
        <v>5250629.8800000008</v>
      </c>
      <c r="AC221" s="13"/>
    </row>
    <row r="222" spans="1:29" x14ac:dyDescent="0.35">
      <c r="A222" s="15" t="s">
        <v>10</v>
      </c>
      <c r="B222" s="15"/>
      <c r="C222" s="12">
        <v>0</v>
      </c>
      <c r="D222" s="12"/>
      <c r="E222" s="12">
        <v>0</v>
      </c>
      <c r="F222" s="12"/>
      <c r="G222" s="12">
        <v>78722.14</v>
      </c>
      <c r="H222" s="12"/>
      <c r="I222" s="12">
        <v>143634.13</v>
      </c>
      <c r="J222" s="12"/>
      <c r="K222" s="12">
        <v>350214.36</v>
      </c>
      <c r="L222" s="12"/>
      <c r="M222" s="12">
        <v>106303.61</v>
      </c>
      <c r="N222" s="12"/>
      <c r="O222" s="12">
        <v>438914.44</v>
      </c>
      <c r="P222" s="12"/>
      <c r="Q222" s="51">
        <v>183386.52</v>
      </c>
      <c r="R222" s="12"/>
      <c r="S222" s="12">
        <v>54064.55</v>
      </c>
      <c r="T222" s="12"/>
      <c r="U222" s="12">
        <v>78019.48</v>
      </c>
      <c r="V222" s="12"/>
      <c r="W222" s="12">
        <v>119660.99</v>
      </c>
      <c r="X222" s="12"/>
      <c r="Y222" s="51">
        <v>232293.94</v>
      </c>
      <c r="Z222" s="21"/>
      <c r="AA222" s="12">
        <f t="shared" si="46"/>
        <v>1785214.16</v>
      </c>
      <c r="AB222" s="12">
        <f t="shared" si="45"/>
        <v>1785214.16</v>
      </c>
      <c r="AC222" s="13"/>
    </row>
    <row r="223" spans="1:29" x14ac:dyDescent="0.35">
      <c r="A223" s="17" t="s">
        <v>7</v>
      </c>
      <c r="B223" s="15"/>
      <c r="C223" s="12">
        <v>0</v>
      </c>
      <c r="D223" s="12"/>
      <c r="E223" s="12">
        <v>0</v>
      </c>
      <c r="F223" s="12"/>
      <c r="G223" s="12">
        <v>4630.71</v>
      </c>
      <c r="H223" s="12"/>
      <c r="I223" s="12">
        <v>8449.07</v>
      </c>
      <c r="J223" s="12"/>
      <c r="K223" s="12">
        <v>20600.84</v>
      </c>
      <c r="L223" s="12"/>
      <c r="M223" s="12">
        <v>6253.15</v>
      </c>
      <c r="N223" s="12"/>
      <c r="O223" s="12">
        <v>25818.5</v>
      </c>
      <c r="P223" s="12"/>
      <c r="Q223" s="51">
        <v>10787.44</v>
      </c>
      <c r="R223" s="12"/>
      <c r="S223" s="12">
        <v>3180.27</v>
      </c>
      <c r="T223" s="12"/>
      <c r="U223" s="12">
        <v>4589.38</v>
      </c>
      <c r="V223" s="12"/>
      <c r="W223" s="12">
        <v>7038.88</v>
      </c>
      <c r="X223" s="12"/>
      <c r="Y223" s="51">
        <v>13664.35</v>
      </c>
      <c r="Z223" s="21"/>
      <c r="AA223" s="12">
        <f t="shared" si="46"/>
        <v>105012.59000000001</v>
      </c>
      <c r="AB223" s="12">
        <f t="shared" si="45"/>
        <v>105012.59000000001</v>
      </c>
      <c r="AC223" s="13"/>
    </row>
    <row r="224" spans="1:29" x14ac:dyDescent="0.35">
      <c r="A224" s="17"/>
      <c r="B224" s="15"/>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21"/>
      <c r="AA224" s="12"/>
      <c r="AB224" s="12"/>
      <c r="AC224" s="13"/>
    </row>
    <row r="225" spans="1:29" x14ac:dyDescent="0.35">
      <c r="A225" s="17"/>
      <c r="B225" s="15"/>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21"/>
      <c r="AA225" s="12"/>
      <c r="AB225" s="12"/>
      <c r="AC225" s="13"/>
    </row>
    <row r="226" spans="1:29" x14ac:dyDescent="0.35">
      <c r="A226" s="11" t="s">
        <v>36</v>
      </c>
      <c r="B226" s="15"/>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21"/>
      <c r="AA226" s="12"/>
      <c r="AB226" s="12"/>
      <c r="AC226" s="13"/>
    </row>
    <row r="227" spans="1:29" x14ac:dyDescent="0.35">
      <c r="A227" s="45" t="s">
        <v>1</v>
      </c>
      <c r="B227" s="15"/>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21"/>
      <c r="AA227" s="12"/>
      <c r="AB227" s="12"/>
      <c r="AC227" s="13"/>
    </row>
    <row r="228" spans="1:29" x14ac:dyDescent="0.35">
      <c r="A228" s="15" t="s">
        <v>2</v>
      </c>
      <c r="B228" s="15"/>
      <c r="C228" s="12">
        <v>0</v>
      </c>
      <c r="D228" s="12"/>
      <c r="E228" s="12">
        <v>0</v>
      </c>
      <c r="F228" s="12"/>
      <c r="G228" s="12">
        <v>294722.71000000002</v>
      </c>
      <c r="H228" s="12"/>
      <c r="I228" s="12">
        <v>2093817.24</v>
      </c>
      <c r="J228" s="12"/>
      <c r="K228" s="12">
        <v>4355212.55</v>
      </c>
      <c r="L228" s="12"/>
      <c r="M228" s="12">
        <v>8671466.7799999993</v>
      </c>
      <c r="N228" s="12"/>
      <c r="O228" s="12">
        <v>6712251.3100000005</v>
      </c>
      <c r="P228" s="12"/>
      <c r="Q228" s="12">
        <v>5712485.7000000002</v>
      </c>
      <c r="R228" s="12"/>
      <c r="S228" s="51">
        <v>1655957.7999999998</v>
      </c>
      <c r="T228" s="12"/>
      <c r="U228" s="12">
        <v>92520.74</v>
      </c>
      <c r="V228" s="12"/>
      <c r="W228" s="12">
        <v>714400.39</v>
      </c>
      <c r="X228" s="12"/>
      <c r="Y228" s="51">
        <v>1108850.03</v>
      </c>
      <c r="Z228" s="21"/>
      <c r="AA228" s="12">
        <f>SUM(C228:Z228)</f>
        <v>31411685.25</v>
      </c>
      <c r="AB228" s="12">
        <f>AA228</f>
        <v>31411685.25</v>
      </c>
      <c r="AC228" s="13"/>
    </row>
    <row r="229" spans="1:29" x14ac:dyDescent="0.35">
      <c r="A229" s="15" t="s">
        <v>3</v>
      </c>
      <c r="B229" s="15"/>
      <c r="C229" s="12">
        <v>0</v>
      </c>
      <c r="D229" s="12"/>
      <c r="E229" s="12">
        <v>0</v>
      </c>
      <c r="F229" s="12"/>
      <c r="G229" s="12">
        <v>74969.95</v>
      </c>
      <c r="H229" s="12"/>
      <c r="I229" s="12">
        <v>305696.53000000003</v>
      </c>
      <c r="J229" s="12"/>
      <c r="K229" s="12">
        <v>199560.02</v>
      </c>
      <c r="L229" s="12"/>
      <c r="M229" s="12">
        <v>346555.79000000004</v>
      </c>
      <c r="N229" s="12"/>
      <c r="O229" s="12">
        <v>689867.71</v>
      </c>
      <c r="P229" s="12"/>
      <c r="Q229" s="12">
        <v>501937.71</v>
      </c>
      <c r="R229" s="12"/>
      <c r="S229" s="51">
        <v>122032.23</v>
      </c>
      <c r="T229" s="12"/>
      <c r="U229" s="12">
        <v>38182.92</v>
      </c>
      <c r="V229" s="12"/>
      <c r="W229" s="12">
        <v>150340.59</v>
      </c>
      <c r="X229" s="12"/>
      <c r="Y229" s="51">
        <v>284296.43000000005</v>
      </c>
      <c r="Z229" s="21"/>
      <c r="AA229" s="12">
        <f t="shared" ref="AA229:AA233" si="47">SUM(C229:Z229)</f>
        <v>2713439.88</v>
      </c>
      <c r="AB229" s="12">
        <f t="shared" ref="AB229:AB245" si="48">AA229</f>
        <v>2713439.88</v>
      </c>
      <c r="AC229" s="13"/>
    </row>
    <row r="230" spans="1:29" x14ac:dyDescent="0.35">
      <c r="A230" s="15" t="s">
        <v>4</v>
      </c>
      <c r="B230" s="15"/>
      <c r="C230" s="12">
        <v>0</v>
      </c>
      <c r="D230" s="12"/>
      <c r="E230" s="12">
        <v>0</v>
      </c>
      <c r="F230" s="12"/>
      <c r="G230" s="12">
        <v>0</v>
      </c>
      <c r="H230" s="12"/>
      <c r="I230" s="12">
        <v>0</v>
      </c>
      <c r="J230" s="12"/>
      <c r="K230" s="12">
        <v>73082.42</v>
      </c>
      <c r="L230" s="12"/>
      <c r="M230" s="12">
        <v>131475.21</v>
      </c>
      <c r="N230" s="12"/>
      <c r="O230" s="12">
        <v>425286.88</v>
      </c>
      <c r="P230" s="12"/>
      <c r="Q230" s="12">
        <v>395818.7</v>
      </c>
      <c r="R230" s="12"/>
      <c r="S230" s="51">
        <v>117618.86</v>
      </c>
      <c r="T230" s="12"/>
      <c r="U230" s="12">
        <v>23820.799999999999</v>
      </c>
      <c r="V230" s="12"/>
      <c r="W230" s="12">
        <v>106428.5</v>
      </c>
      <c r="X230" s="12"/>
      <c r="Y230" s="51">
        <v>270064.13</v>
      </c>
      <c r="Z230" s="21"/>
      <c r="AA230" s="12">
        <f t="shared" si="47"/>
        <v>1543595.5</v>
      </c>
      <c r="AB230" s="12">
        <f t="shared" si="48"/>
        <v>1543595.5</v>
      </c>
      <c r="AC230" s="13"/>
    </row>
    <row r="231" spans="1:29" x14ac:dyDescent="0.35">
      <c r="A231" s="15" t="s">
        <v>5</v>
      </c>
      <c r="B231" s="15"/>
      <c r="C231" s="12">
        <v>0</v>
      </c>
      <c r="D231" s="12"/>
      <c r="E231" s="12">
        <v>0</v>
      </c>
      <c r="F231" s="12"/>
      <c r="G231" s="12">
        <v>74969.95</v>
      </c>
      <c r="H231" s="12"/>
      <c r="I231" s="12">
        <v>305696.53000000003</v>
      </c>
      <c r="J231" s="12"/>
      <c r="K231" s="12">
        <v>126477.61</v>
      </c>
      <c r="L231" s="12"/>
      <c r="M231" s="12">
        <v>226211.96000000002</v>
      </c>
      <c r="N231" s="12"/>
      <c r="O231" s="12">
        <v>264580.83</v>
      </c>
      <c r="P231" s="12"/>
      <c r="Q231" s="12">
        <v>106119.01</v>
      </c>
      <c r="R231" s="12"/>
      <c r="S231" s="51">
        <v>4413.3700000000008</v>
      </c>
      <c r="T231" s="12"/>
      <c r="U231" s="12">
        <v>14362.12</v>
      </c>
      <c r="V231" s="12"/>
      <c r="W231" s="12">
        <v>43912.09</v>
      </c>
      <c r="X231" s="12"/>
      <c r="Y231" s="51">
        <v>14232.3</v>
      </c>
      <c r="Z231" s="21"/>
      <c r="AA231" s="12">
        <f t="shared" si="47"/>
        <v>1180975.7700000005</v>
      </c>
      <c r="AB231" s="12">
        <f t="shared" si="48"/>
        <v>1180975.7700000005</v>
      </c>
      <c r="AC231" s="13"/>
    </row>
    <row r="232" spans="1:29" x14ac:dyDescent="0.35">
      <c r="A232" s="15" t="s">
        <v>6</v>
      </c>
      <c r="B232" s="15"/>
      <c r="C232" s="12">
        <v>0</v>
      </c>
      <c r="D232" s="12"/>
      <c r="E232" s="12">
        <v>0</v>
      </c>
      <c r="F232" s="12"/>
      <c r="G232" s="12">
        <v>25489.78</v>
      </c>
      <c r="H232" s="12"/>
      <c r="I232" s="12">
        <v>103936.82</v>
      </c>
      <c r="J232" s="12"/>
      <c r="K232" s="12">
        <v>43002.38</v>
      </c>
      <c r="L232" s="12"/>
      <c r="M232" s="12">
        <v>76912.06</v>
      </c>
      <c r="N232" s="12"/>
      <c r="O232" s="12">
        <v>89957.48000000001</v>
      </c>
      <c r="P232" s="12"/>
      <c r="Q232" s="12">
        <v>36080.47</v>
      </c>
      <c r="R232" s="12"/>
      <c r="S232" s="51">
        <v>1500.5500000000002</v>
      </c>
      <c r="T232" s="12"/>
      <c r="U232" s="12">
        <v>4883.12</v>
      </c>
      <c r="V232" s="12"/>
      <c r="W232" s="12">
        <v>14930.11</v>
      </c>
      <c r="X232" s="12"/>
      <c r="Y232" s="51">
        <v>4838.99</v>
      </c>
      <c r="Z232" s="21"/>
      <c r="AA232" s="12">
        <f t="shared" si="47"/>
        <v>401531.75999999995</v>
      </c>
      <c r="AB232" s="12">
        <f t="shared" si="48"/>
        <v>401531.75999999995</v>
      </c>
      <c r="AC232" s="13"/>
    </row>
    <row r="233" spans="1:29" x14ac:dyDescent="0.35">
      <c r="A233" s="17" t="s">
        <v>7</v>
      </c>
      <c r="B233" s="15"/>
      <c r="C233" s="12">
        <v>0</v>
      </c>
      <c r="D233" s="12"/>
      <c r="E233" s="12">
        <v>0</v>
      </c>
      <c r="F233" s="12"/>
      <c r="G233" s="12">
        <v>1499.4</v>
      </c>
      <c r="H233" s="12"/>
      <c r="I233" s="12">
        <v>6113.93</v>
      </c>
      <c r="J233" s="12"/>
      <c r="K233" s="12">
        <v>2529.5499999999997</v>
      </c>
      <c r="L233" s="12"/>
      <c r="M233" s="12">
        <v>4524.24</v>
      </c>
      <c r="N233" s="12"/>
      <c r="O233" s="12">
        <v>5291.6100000000006</v>
      </c>
      <c r="P233" s="12"/>
      <c r="Q233" s="12">
        <v>2122.38</v>
      </c>
      <c r="R233" s="12"/>
      <c r="S233" s="51">
        <v>88.269999999999982</v>
      </c>
      <c r="T233" s="12"/>
      <c r="U233" s="12">
        <v>287.24</v>
      </c>
      <c r="V233" s="12"/>
      <c r="W233" s="12">
        <v>878.24</v>
      </c>
      <c r="X233" s="12"/>
      <c r="Y233" s="51">
        <v>284.64999999999998</v>
      </c>
      <c r="Z233" s="21"/>
      <c r="AA233" s="12">
        <f t="shared" si="47"/>
        <v>23619.510000000006</v>
      </c>
      <c r="AB233" s="12">
        <f t="shared" si="48"/>
        <v>23619.510000000006</v>
      </c>
      <c r="AC233" s="13"/>
    </row>
    <row r="234" spans="1:29" x14ac:dyDescent="0.35">
      <c r="A234" s="45" t="s">
        <v>8</v>
      </c>
      <c r="B234" s="15"/>
      <c r="C234" s="12"/>
      <c r="D234" s="12"/>
      <c r="E234" s="12"/>
      <c r="F234" s="12"/>
      <c r="G234" s="12"/>
      <c r="H234" s="12"/>
      <c r="I234" s="12"/>
      <c r="J234" s="12"/>
      <c r="K234" s="12"/>
      <c r="L234" s="12"/>
      <c r="M234" s="12"/>
      <c r="N234" s="12"/>
      <c r="O234" s="12"/>
      <c r="P234" s="12"/>
      <c r="Q234" s="12"/>
      <c r="R234" s="12"/>
      <c r="S234" s="51"/>
      <c r="T234" s="12"/>
      <c r="U234" s="12"/>
      <c r="V234" s="12"/>
      <c r="W234" s="12"/>
      <c r="X234" s="12"/>
      <c r="Y234" s="51"/>
      <c r="Z234" s="21"/>
      <c r="AA234" s="12"/>
      <c r="AB234" s="12"/>
      <c r="AC234" s="13"/>
    </row>
    <row r="235" spans="1:29" x14ac:dyDescent="0.35">
      <c r="A235" s="15" t="s">
        <v>2</v>
      </c>
      <c r="B235" s="15"/>
      <c r="C235" s="12">
        <v>0</v>
      </c>
      <c r="D235" s="12"/>
      <c r="E235" s="12">
        <v>0</v>
      </c>
      <c r="F235" s="12"/>
      <c r="G235" s="12">
        <v>294722.71000000002</v>
      </c>
      <c r="H235" s="12"/>
      <c r="I235" s="12">
        <v>2093817.24</v>
      </c>
      <c r="J235" s="12"/>
      <c r="K235" s="12">
        <v>2473714.42</v>
      </c>
      <c r="L235" s="12"/>
      <c r="M235" s="12">
        <v>2611726.64</v>
      </c>
      <c r="N235" s="12"/>
      <c r="O235" s="12">
        <v>1915038.56</v>
      </c>
      <c r="P235" s="12"/>
      <c r="Q235" s="12">
        <v>1685183.62</v>
      </c>
      <c r="R235" s="12"/>
      <c r="S235" s="51">
        <v>463552.39</v>
      </c>
      <c r="T235" s="12"/>
      <c r="U235" s="12">
        <v>0</v>
      </c>
      <c r="V235" s="12"/>
      <c r="W235" s="12">
        <v>0</v>
      </c>
      <c r="X235" s="12"/>
      <c r="Y235" s="51">
        <v>36866.050000000003</v>
      </c>
      <c r="Z235" s="21"/>
      <c r="AA235" s="12">
        <f>SUM(C235:Z235)</f>
        <v>11574621.630000003</v>
      </c>
      <c r="AB235" s="12">
        <f t="shared" si="48"/>
        <v>11574621.630000003</v>
      </c>
      <c r="AC235" s="13"/>
    </row>
    <row r="236" spans="1:29" x14ac:dyDescent="0.35">
      <c r="A236" s="15" t="s">
        <v>5</v>
      </c>
      <c r="B236" s="15"/>
      <c r="C236" s="12">
        <v>0</v>
      </c>
      <c r="D236" s="12"/>
      <c r="E236" s="12">
        <v>0</v>
      </c>
      <c r="F236" s="12"/>
      <c r="G236" s="12">
        <v>74969.95</v>
      </c>
      <c r="H236" s="12"/>
      <c r="I236" s="12">
        <v>305696.53000000003</v>
      </c>
      <c r="J236" s="12"/>
      <c r="K236" s="12">
        <v>173119.72</v>
      </c>
      <c r="L236" s="12"/>
      <c r="M236" s="12">
        <v>257955.98</v>
      </c>
      <c r="N236" s="12"/>
      <c r="O236" s="12">
        <v>137702.20000000001</v>
      </c>
      <c r="P236" s="12"/>
      <c r="Q236" s="12">
        <v>19561.2</v>
      </c>
      <c r="R236" s="12"/>
      <c r="S236" s="51">
        <v>-15336.24</v>
      </c>
      <c r="T236" s="12"/>
      <c r="U236" s="12">
        <v>0</v>
      </c>
      <c r="V236" s="12"/>
      <c r="W236" s="12">
        <v>0</v>
      </c>
      <c r="X236" s="12"/>
      <c r="Y236" s="51">
        <v>-258.16000000000003</v>
      </c>
      <c r="Z236" s="21"/>
      <c r="AA236" s="12">
        <f>SUM(C236:Z236)</f>
        <v>953411.18</v>
      </c>
      <c r="AB236" s="12">
        <f t="shared" si="48"/>
        <v>953411.18</v>
      </c>
      <c r="AC236" s="13"/>
    </row>
    <row r="237" spans="1:29" x14ac:dyDescent="0.35">
      <c r="A237" s="15" t="s">
        <v>10</v>
      </c>
      <c r="B237" s="15"/>
      <c r="C237" s="12">
        <v>0</v>
      </c>
      <c r="D237" s="12"/>
      <c r="E237" s="12">
        <v>0</v>
      </c>
      <c r="F237" s="12"/>
      <c r="G237" s="12">
        <v>25489.78</v>
      </c>
      <c r="H237" s="12"/>
      <c r="I237" s="12">
        <v>103936.82</v>
      </c>
      <c r="J237" s="12"/>
      <c r="K237" s="12">
        <v>58860.7</v>
      </c>
      <c r="L237" s="12"/>
      <c r="M237" s="12">
        <v>87705.03</v>
      </c>
      <c r="N237" s="12"/>
      <c r="O237" s="12">
        <v>46818.75</v>
      </c>
      <c r="P237" s="12"/>
      <c r="Q237" s="12">
        <v>6650.81</v>
      </c>
      <c r="R237" s="12"/>
      <c r="S237" s="51">
        <v>-5214.32</v>
      </c>
      <c r="T237" s="12"/>
      <c r="U237" s="12">
        <v>0</v>
      </c>
      <c r="V237" s="12"/>
      <c r="W237" s="12">
        <v>0</v>
      </c>
      <c r="X237" s="12"/>
      <c r="Y237" s="51">
        <v>-87.77</v>
      </c>
      <c r="Z237" s="21"/>
      <c r="AA237" s="12">
        <f>SUM(C237:Z237)</f>
        <v>324159.79999999993</v>
      </c>
      <c r="AB237" s="12">
        <f t="shared" si="48"/>
        <v>324159.79999999993</v>
      </c>
      <c r="AC237" s="13"/>
    </row>
    <row r="238" spans="1:29" x14ac:dyDescent="0.35">
      <c r="A238" s="17" t="s">
        <v>7</v>
      </c>
      <c r="B238" s="15"/>
      <c r="C238" s="12">
        <v>0</v>
      </c>
      <c r="D238" s="12"/>
      <c r="E238" s="12">
        <v>0</v>
      </c>
      <c r="F238" s="12"/>
      <c r="G238" s="12">
        <v>1499.4</v>
      </c>
      <c r="H238" s="12"/>
      <c r="I238" s="12">
        <v>6113.93</v>
      </c>
      <c r="J238" s="12"/>
      <c r="K238" s="12">
        <v>3462.39</v>
      </c>
      <c r="L238" s="12"/>
      <c r="M238" s="12">
        <v>5159.12</v>
      </c>
      <c r="N238" s="12"/>
      <c r="O238" s="12">
        <v>2754.04</v>
      </c>
      <c r="P238" s="12"/>
      <c r="Q238" s="12">
        <v>391.22</v>
      </c>
      <c r="R238" s="12"/>
      <c r="S238" s="51">
        <v>-306.72000000000003</v>
      </c>
      <c r="T238" s="12"/>
      <c r="U238" s="12">
        <v>0</v>
      </c>
      <c r="V238" s="12"/>
      <c r="W238" s="12">
        <v>0</v>
      </c>
      <c r="X238" s="12"/>
      <c r="Y238" s="51">
        <v>-5.16</v>
      </c>
      <c r="Z238" s="21"/>
      <c r="AA238" s="12">
        <f>SUM(C238:Z238)</f>
        <v>19068.22</v>
      </c>
      <c r="AB238" s="12">
        <f t="shared" si="48"/>
        <v>19068.22</v>
      </c>
      <c r="AC238" s="13"/>
    </row>
    <row r="239" spans="1:29" x14ac:dyDescent="0.35">
      <c r="A239" s="45" t="s">
        <v>9</v>
      </c>
      <c r="B239" s="15"/>
      <c r="C239" s="12"/>
      <c r="D239" s="12"/>
      <c r="E239" s="12"/>
      <c r="F239" s="12"/>
      <c r="G239" s="12"/>
      <c r="H239" s="12"/>
      <c r="I239" s="12"/>
      <c r="J239" s="12"/>
      <c r="K239" s="12"/>
      <c r="L239" s="12"/>
      <c r="M239" s="12"/>
      <c r="N239" s="12"/>
      <c r="O239" s="12"/>
      <c r="P239" s="12"/>
      <c r="Q239" s="12"/>
      <c r="R239" s="12"/>
      <c r="S239" s="51"/>
      <c r="T239" s="12"/>
      <c r="U239" s="12"/>
      <c r="V239" s="12"/>
      <c r="W239" s="12"/>
      <c r="X239" s="12"/>
      <c r="Y239" s="51"/>
      <c r="Z239" s="21"/>
      <c r="AA239" s="12"/>
      <c r="AB239" s="12"/>
      <c r="AC239" s="13"/>
    </row>
    <row r="240" spans="1:29" x14ac:dyDescent="0.35">
      <c r="A240" s="15" t="s">
        <v>2</v>
      </c>
      <c r="B240" s="15"/>
      <c r="C240" s="12">
        <v>0</v>
      </c>
      <c r="D240" s="12"/>
      <c r="E240" s="12">
        <v>0</v>
      </c>
      <c r="F240" s="12"/>
      <c r="G240" s="12">
        <v>0</v>
      </c>
      <c r="H240" s="12"/>
      <c r="I240" s="12">
        <v>0</v>
      </c>
      <c r="J240" s="12"/>
      <c r="K240" s="12">
        <v>1881498.13</v>
      </c>
      <c r="L240" s="12"/>
      <c r="M240" s="12">
        <v>6059740.1399999997</v>
      </c>
      <c r="N240" s="12"/>
      <c r="O240" s="12">
        <v>4797212.75</v>
      </c>
      <c r="P240" s="12"/>
      <c r="Q240" s="12">
        <v>4027302.08</v>
      </c>
      <c r="R240" s="12"/>
      <c r="S240" s="51">
        <v>1192405.4099999999</v>
      </c>
      <c r="T240" s="12"/>
      <c r="U240" s="12">
        <v>92520.74</v>
      </c>
      <c r="V240" s="12"/>
      <c r="W240" s="12">
        <v>714400.39</v>
      </c>
      <c r="X240" s="12"/>
      <c r="Y240" s="51">
        <v>1071983.98</v>
      </c>
      <c r="Z240" s="21"/>
      <c r="AA240" s="12">
        <f t="shared" ref="AA240:AA245" si="49">SUM(C240:Z240)</f>
        <v>19837063.619999997</v>
      </c>
      <c r="AB240" s="12">
        <f t="shared" si="48"/>
        <v>19837063.619999997</v>
      </c>
      <c r="AC240" s="13"/>
    </row>
    <row r="241" spans="1:29" x14ac:dyDescent="0.35">
      <c r="A241" s="15" t="s">
        <v>3</v>
      </c>
      <c r="B241" s="15"/>
      <c r="C241" s="12">
        <v>0</v>
      </c>
      <c r="D241" s="12"/>
      <c r="E241" s="12">
        <v>0</v>
      </c>
      <c r="F241" s="12"/>
      <c r="G241" s="12">
        <v>0</v>
      </c>
      <c r="H241" s="12"/>
      <c r="I241" s="12">
        <v>0</v>
      </c>
      <c r="J241" s="12"/>
      <c r="K241" s="12">
        <v>26440.3</v>
      </c>
      <c r="L241" s="12"/>
      <c r="M241" s="12">
        <v>88599.81</v>
      </c>
      <c r="N241" s="12"/>
      <c r="O241" s="12">
        <v>552165.51</v>
      </c>
      <c r="P241" s="12"/>
      <c r="Q241" s="12">
        <v>482376.51</v>
      </c>
      <c r="R241" s="12"/>
      <c r="S241" s="51">
        <v>137368.47</v>
      </c>
      <c r="T241" s="12"/>
      <c r="U241" s="12">
        <v>38182.92</v>
      </c>
      <c r="V241" s="12"/>
      <c r="W241" s="12">
        <v>150340.59</v>
      </c>
      <c r="X241" s="12"/>
      <c r="Y241" s="51">
        <v>284554.59000000003</v>
      </c>
      <c r="Z241" s="21"/>
      <c r="AA241" s="12">
        <f t="shared" si="49"/>
        <v>1760028.7</v>
      </c>
      <c r="AB241" s="12">
        <f t="shared" si="48"/>
        <v>1760028.7</v>
      </c>
      <c r="AC241" s="13"/>
    </row>
    <row r="242" spans="1:29" x14ac:dyDescent="0.35">
      <c r="A242" s="15" t="s">
        <v>4</v>
      </c>
      <c r="B242" s="15"/>
      <c r="C242" s="12">
        <v>0</v>
      </c>
      <c r="D242" s="12"/>
      <c r="E242" s="12">
        <v>0</v>
      </c>
      <c r="F242" s="12"/>
      <c r="G242" s="12">
        <v>0</v>
      </c>
      <c r="H242" s="12"/>
      <c r="I242" s="12">
        <v>0</v>
      </c>
      <c r="J242" s="12"/>
      <c r="K242" s="12">
        <v>73082.42</v>
      </c>
      <c r="L242" s="12"/>
      <c r="M242" s="12">
        <v>131475.21</v>
      </c>
      <c r="N242" s="12"/>
      <c r="O242" s="12">
        <v>425286.88</v>
      </c>
      <c r="P242" s="12"/>
      <c r="Q242" s="12">
        <v>395818.7</v>
      </c>
      <c r="R242" s="12"/>
      <c r="S242" s="51">
        <v>117618.86</v>
      </c>
      <c r="T242" s="12"/>
      <c r="U242" s="12">
        <v>23820.799999999999</v>
      </c>
      <c r="V242" s="12"/>
      <c r="W242" s="12">
        <v>106428.5</v>
      </c>
      <c r="X242" s="12"/>
      <c r="Y242" s="51">
        <v>270064.13</v>
      </c>
      <c r="Z242" s="21"/>
      <c r="AA242" s="12">
        <f t="shared" si="49"/>
        <v>1543595.5</v>
      </c>
      <c r="AB242" s="12">
        <f t="shared" si="48"/>
        <v>1543595.5</v>
      </c>
      <c r="AC242" s="13"/>
    </row>
    <row r="243" spans="1:29" x14ac:dyDescent="0.35">
      <c r="A243" s="15" t="s">
        <v>5</v>
      </c>
      <c r="B243" s="15"/>
      <c r="C243" s="12">
        <v>0</v>
      </c>
      <c r="D243" s="12"/>
      <c r="E243" s="12">
        <v>0</v>
      </c>
      <c r="F243" s="12"/>
      <c r="G243" s="12">
        <v>0</v>
      </c>
      <c r="H243" s="12"/>
      <c r="I243" s="12">
        <v>0</v>
      </c>
      <c r="J243" s="12"/>
      <c r="K243" s="51">
        <v>-46642.11</v>
      </c>
      <c r="L243" s="12"/>
      <c r="M243" s="51">
        <v>-31744.02</v>
      </c>
      <c r="N243" s="12"/>
      <c r="O243" s="12">
        <v>126878.63</v>
      </c>
      <c r="P243" s="12"/>
      <c r="Q243" s="12">
        <v>86557.81</v>
      </c>
      <c r="R243" s="12"/>
      <c r="S243" s="51">
        <v>19749.61</v>
      </c>
      <c r="T243" s="12"/>
      <c r="U243" s="12">
        <v>14362.12</v>
      </c>
      <c r="V243" s="12"/>
      <c r="W243" s="12">
        <v>43912.09</v>
      </c>
      <c r="X243" s="12"/>
      <c r="Y243" s="51">
        <v>14490.46</v>
      </c>
      <c r="Z243" s="21"/>
      <c r="AA243" s="12">
        <f t="shared" si="49"/>
        <v>227564.58999999997</v>
      </c>
      <c r="AB243" s="12">
        <f>AA243</f>
        <v>227564.58999999997</v>
      </c>
      <c r="AC243" s="13"/>
    </row>
    <row r="244" spans="1:29" x14ac:dyDescent="0.35">
      <c r="A244" s="15" t="s">
        <v>10</v>
      </c>
      <c r="B244" s="15"/>
      <c r="C244" s="12">
        <v>0</v>
      </c>
      <c r="D244" s="12"/>
      <c r="E244" s="12">
        <v>0</v>
      </c>
      <c r="F244" s="12"/>
      <c r="G244" s="12">
        <v>0</v>
      </c>
      <c r="H244" s="12"/>
      <c r="I244" s="12">
        <v>0</v>
      </c>
      <c r="J244" s="12"/>
      <c r="K244" s="51">
        <v>-15858.32</v>
      </c>
      <c r="L244" s="12"/>
      <c r="M244" s="51">
        <v>-10792.97</v>
      </c>
      <c r="N244" s="12"/>
      <c r="O244" s="12">
        <v>43138.73</v>
      </c>
      <c r="P244" s="12"/>
      <c r="Q244" s="12">
        <v>29429.66</v>
      </c>
      <c r="R244" s="12"/>
      <c r="S244" s="51">
        <v>6714.87</v>
      </c>
      <c r="T244" s="12"/>
      <c r="U244" s="12">
        <v>4883.12</v>
      </c>
      <c r="V244" s="12"/>
      <c r="W244" s="12">
        <v>14930.11</v>
      </c>
      <c r="X244" s="12"/>
      <c r="Y244" s="51">
        <v>4926.76</v>
      </c>
      <c r="Z244" s="21"/>
      <c r="AA244" s="12">
        <f t="shared" si="49"/>
        <v>77371.960000000006</v>
      </c>
      <c r="AB244" s="12">
        <f t="shared" si="48"/>
        <v>77371.960000000006</v>
      </c>
      <c r="AC244" s="13"/>
    </row>
    <row r="245" spans="1:29" x14ac:dyDescent="0.35">
      <c r="A245" s="17" t="s">
        <v>7</v>
      </c>
      <c r="B245" s="15"/>
      <c r="C245" s="12">
        <v>0</v>
      </c>
      <c r="D245" s="12"/>
      <c r="E245" s="12">
        <v>0</v>
      </c>
      <c r="F245" s="12"/>
      <c r="G245" s="12">
        <v>0</v>
      </c>
      <c r="H245" s="12"/>
      <c r="I245" s="12">
        <v>0</v>
      </c>
      <c r="J245" s="12"/>
      <c r="K245" s="51">
        <v>-932.84</v>
      </c>
      <c r="L245" s="12"/>
      <c r="M245" s="51">
        <v>-634.88</v>
      </c>
      <c r="N245" s="12"/>
      <c r="O245" s="12">
        <v>2537.5700000000002</v>
      </c>
      <c r="P245" s="12"/>
      <c r="Q245" s="12">
        <v>1731.16</v>
      </c>
      <c r="R245" s="12"/>
      <c r="S245" s="51">
        <v>394.99</v>
      </c>
      <c r="T245" s="12"/>
      <c r="U245" s="12">
        <v>287.24</v>
      </c>
      <c r="V245" s="12"/>
      <c r="W245" s="12">
        <v>878.24</v>
      </c>
      <c r="X245" s="12"/>
      <c r="Y245" s="51">
        <v>289.81</v>
      </c>
      <c r="Z245" s="21"/>
      <c r="AA245" s="12">
        <f t="shared" si="49"/>
        <v>4551.29</v>
      </c>
      <c r="AB245" s="12">
        <f t="shared" si="48"/>
        <v>4551.29</v>
      </c>
      <c r="AC245" s="13"/>
    </row>
    <row r="246" spans="1:29" x14ac:dyDescent="0.35">
      <c r="A246" s="17"/>
      <c r="B246" s="15"/>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21"/>
      <c r="AA246" s="12"/>
      <c r="AB246" s="12"/>
      <c r="AC246" s="13"/>
    </row>
    <row r="247" spans="1:29" x14ac:dyDescent="0.35">
      <c r="A247" s="17"/>
      <c r="B247" s="15"/>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21"/>
      <c r="AA247" s="12"/>
      <c r="AB247" s="12"/>
      <c r="AC247" s="13"/>
    </row>
    <row r="248" spans="1:29" x14ac:dyDescent="0.35">
      <c r="A248" s="11" t="s">
        <v>39</v>
      </c>
      <c r="B248" s="15"/>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21"/>
      <c r="AA248" s="12"/>
      <c r="AB248" s="12"/>
      <c r="AC248" s="13"/>
    </row>
    <row r="249" spans="1:29" x14ac:dyDescent="0.35">
      <c r="A249" s="45" t="s">
        <v>1</v>
      </c>
      <c r="B249" s="15"/>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21"/>
      <c r="AA249" s="12"/>
      <c r="AB249" s="12"/>
      <c r="AC249" s="13"/>
    </row>
    <row r="250" spans="1:29" x14ac:dyDescent="0.35">
      <c r="A250" s="15" t="s">
        <v>2</v>
      </c>
      <c r="B250" s="15"/>
      <c r="C250" s="12">
        <v>0</v>
      </c>
      <c r="D250" s="12"/>
      <c r="E250" s="12">
        <v>0</v>
      </c>
      <c r="F250" s="12"/>
      <c r="G250" s="12">
        <v>0</v>
      </c>
      <c r="H250" s="12"/>
      <c r="I250" s="12">
        <v>773177.69</v>
      </c>
      <c r="J250" s="12"/>
      <c r="K250" s="12">
        <v>18065135.800000001</v>
      </c>
      <c r="L250" s="12"/>
      <c r="M250" s="12">
        <v>37640121.280000001</v>
      </c>
      <c r="N250" s="12"/>
      <c r="O250" s="12">
        <v>60234745.339999996</v>
      </c>
      <c r="P250" s="12"/>
      <c r="Q250" s="12">
        <v>73772972.640000001</v>
      </c>
      <c r="R250" s="12"/>
      <c r="S250" s="51">
        <v>29204181.030000001</v>
      </c>
      <c r="T250" s="12"/>
      <c r="U250" s="12">
        <v>12591292.52</v>
      </c>
      <c r="V250" s="12"/>
      <c r="W250" s="12">
        <v>21766738.789999999</v>
      </c>
      <c r="X250" s="12"/>
      <c r="Y250" s="51">
        <v>25066874.640000001</v>
      </c>
      <c r="Z250" s="21"/>
      <c r="AA250" s="12">
        <f t="shared" ref="AA250:AA255" si="50">SUM(C250:Z250)</f>
        <v>279115239.73000002</v>
      </c>
      <c r="AB250" s="12">
        <f t="shared" ref="AB250:AB255" si="51">AA250</f>
        <v>279115239.73000002</v>
      </c>
      <c r="AC250" s="13"/>
    </row>
    <row r="251" spans="1:29" x14ac:dyDescent="0.35">
      <c r="A251" s="15" t="s">
        <v>3</v>
      </c>
      <c r="B251" s="15"/>
      <c r="C251" s="12">
        <v>0</v>
      </c>
      <c r="D251" s="12"/>
      <c r="E251" s="12">
        <v>0</v>
      </c>
      <c r="F251" s="12"/>
      <c r="G251" s="12">
        <v>0</v>
      </c>
      <c r="H251" s="12"/>
      <c r="I251" s="12">
        <v>178682.02</v>
      </c>
      <c r="J251" s="12"/>
      <c r="K251" s="12">
        <v>1984168.19</v>
      </c>
      <c r="L251" s="12"/>
      <c r="M251" s="12">
        <v>2161167.7600000002</v>
      </c>
      <c r="N251" s="12"/>
      <c r="O251" s="12">
        <v>5852390.3999999994</v>
      </c>
      <c r="P251" s="12"/>
      <c r="Q251" s="12">
        <v>3438539.89</v>
      </c>
      <c r="R251" s="12"/>
      <c r="S251" s="51">
        <v>2121480.88</v>
      </c>
      <c r="T251" s="12"/>
      <c r="U251" s="12">
        <v>815109.83</v>
      </c>
      <c r="V251" s="12"/>
      <c r="W251" s="12">
        <v>1309314.28</v>
      </c>
      <c r="X251" s="12"/>
      <c r="Y251" s="51">
        <v>1765663.2</v>
      </c>
      <c r="Z251" s="21"/>
      <c r="AA251" s="12">
        <f t="shared" si="50"/>
        <v>19626516.449999999</v>
      </c>
      <c r="AB251" s="12">
        <f t="shared" si="51"/>
        <v>19626516.449999999</v>
      </c>
      <c r="AC251" s="13"/>
    </row>
    <row r="252" spans="1:29" x14ac:dyDescent="0.35">
      <c r="A252" s="15" t="s">
        <v>4</v>
      </c>
      <c r="B252" s="15"/>
      <c r="C252" s="12">
        <v>0</v>
      </c>
      <c r="D252" s="12"/>
      <c r="E252" s="12">
        <v>0</v>
      </c>
      <c r="F252" s="12"/>
      <c r="G252" s="12">
        <v>0</v>
      </c>
      <c r="H252" s="12"/>
      <c r="I252" s="12">
        <v>0</v>
      </c>
      <c r="J252" s="12"/>
      <c r="K252" s="12">
        <v>582597.72</v>
      </c>
      <c r="L252" s="12"/>
      <c r="M252" s="12">
        <v>1419433.78</v>
      </c>
      <c r="N252" s="12"/>
      <c r="O252" s="12">
        <v>2805228.28</v>
      </c>
      <c r="P252" s="12"/>
      <c r="Q252" s="12">
        <v>2371093.7799999998</v>
      </c>
      <c r="R252" s="12"/>
      <c r="S252" s="51">
        <v>649439.99</v>
      </c>
      <c r="T252" s="12"/>
      <c r="U252" s="12">
        <v>108520.37</v>
      </c>
      <c r="V252" s="12"/>
      <c r="W252" s="12">
        <v>400679.16</v>
      </c>
      <c r="X252" s="12"/>
      <c r="Y252" s="51">
        <v>418563.51</v>
      </c>
      <c r="Z252" s="21"/>
      <c r="AA252" s="12">
        <f t="shared" si="50"/>
        <v>8755556.5899999999</v>
      </c>
      <c r="AB252" s="12">
        <f t="shared" si="51"/>
        <v>8755556.5899999999</v>
      </c>
      <c r="AC252" s="13"/>
    </row>
    <row r="253" spans="1:29" x14ac:dyDescent="0.35">
      <c r="A253" s="15" t="s">
        <v>5</v>
      </c>
      <c r="B253" s="15"/>
      <c r="C253" s="12">
        <v>0</v>
      </c>
      <c r="D253" s="12"/>
      <c r="E253" s="12">
        <v>0</v>
      </c>
      <c r="F253" s="12"/>
      <c r="G253" s="12">
        <v>0</v>
      </c>
      <c r="H253" s="12"/>
      <c r="I253" s="12">
        <v>178682.02</v>
      </c>
      <c r="J253" s="12"/>
      <c r="K253" s="12">
        <v>1401570.4700000002</v>
      </c>
      <c r="L253" s="12"/>
      <c r="M253" s="12">
        <v>741733.98</v>
      </c>
      <c r="N253" s="12"/>
      <c r="O253" s="12">
        <v>3047162.12</v>
      </c>
      <c r="P253" s="12"/>
      <c r="Q253" s="12">
        <v>1067446.1100000001</v>
      </c>
      <c r="R253" s="12"/>
      <c r="S253" s="51">
        <v>1472040.89</v>
      </c>
      <c r="T253" s="12"/>
      <c r="U253" s="12">
        <v>706589.46</v>
      </c>
      <c r="V253" s="12"/>
      <c r="W253" s="12">
        <v>908635.12</v>
      </c>
      <c r="X253" s="12"/>
      <c r="Y253" s="51">
        <v>1347099.69</v>
      </c>
      <c r="Z253" s="21"/>
      <c r="AA253" s="12">
        <f t="shared" si="50"/>
        <v>10870959.859999999</v>
      </c>
      <c r="AB253" s="12">
        <f t="shared" si="51"/>
        <v>10870959.859999999</v>
      </c>
      <c r="AC253" s="13"/>
    </row>
    <row r="254" spans="1:29" x14ac:dyDescent="0.35">
      <c r="A254" s="15" t="s">
        <v>6</v>
      </c>
      <c r="B254" s="15"/>
      <c r="C254" s="12">
        <v>0</v>
      </c>
      <c r="D254" s="12"/>
      <c r="E254" s="12">
        <v>0</v>
      </c>
      <c r="F254" s="12"/>
      <c r="G254" s="12">
        <v>0</v>
      </c>
      <c r="H254" s="12"/>
      <c r="I254" s="12">
        <v>60751.89</v>
      </c>
      <c r="J254" s="12"/>
      <c r="K254" s="12">
        <v>476533.96</v>
      </c>
      <c r="L254" s="12"/>
      <c r="M254" s="12">
        <v>252189.55</v>
      </c>
      <c r="N254" s="12"/>
      <c r="O254" s="12">
        <v>1036035.12</v>
      </c>
      <c r="P254" s="12"/>
      <c r="Q254" s="12">
        <v>362931.68000000005</v>
      </c>
      <c r="R254" s="12"/>
      <c r="S254" s="51">
        <v>500493.89999999997</v>
      </c>
      <c r="T254" s="12"/>
      <c r="U254" s="12">
        <v>240240.42</v>
      </c>
      <c r="V254" s="12"/>
      <c r="W254" s="12">
        <v>308935.94</v>
      </c>
      <c r="X254" s="12"/>
      <c r="Y254" s="51">
        <v>458013.9</v>
      </c>
      <c r="Z254" s="21"/>
      <c r="AA254" s="12">
        <f t="shared" si="50"/>
        <v>3696126.36</v>
      </c>
      <c r="AB254" s="12">
        <f t="shared" si="51"/>
        <v>3696126.36</v>
      </c>
      <c r="AC254" s="13"/>
    </row>
    <row r="255" spans="1:29" x14ac:dyDescent="0.35">
      <c r="A255" s="17" t="s">
        <v>7</v>
      </c>
      <c r="B255" s="15"/>
      <c r="C255" s="12">
        <v>0</v>
      </c>
      <c r="D255" s="12"/>
      <c r="E255" s="12">
        <v>0</v>
      </c>
      <c r="F255" s="12"/>
      <c r="G255" s="12">
        <v>0</v>
      </c>
      <c r="H255" s="12"/>
      <c r="I255" s="12">
        <v>3573.64</v>
      </c>
      <c r="J255" s="12"/>
      <c r="K255" s="12">
        <v>28031.41</v>
      </c>
      <c r="L255" s="12"/>
      <c r="M255" s="12">
        <v>14834.68</v>
      </c>
      <c r="N255" s="12"/>
      <c r="O255" s="12">
        <v>60943.24</v>
      </c>
      <c r="P255" s="12"/>
      <c r="Q255" s="12">
        <v>21348.920000000002</v>
      </c>
      <c r="R255" s="12"/>
      <c r="S255" s="51">
        <v>29440.82</v>
      </c>
      <c r="T255" s="12"/>
      <c r="U255" s="12">
        <v>14131.79</v>
      </c>
      <c r="V255" s="12"/>
      <c r="W255" s="12">
        <v>18172.7</v>
      </c>
      <c r="X255" s="12"/>
      <c r="Y255" s="51">
        <v>26942</v>
      </c>
      <c r="Z255" s="21"/>
      <c r="AA255" s="12">
        <f t="shared" si="50"/>
        <v>217419.2</v>
      </c>
      <c r="AB255" s="12">
        <f t="shared" si="51"/>
        <v>217419.2</v>
      </c>
      <c r="AC255" s="13"/>
    </row>
    <row r="256" spans="1:29" x14ac:dyDescent="0.35">
      <c r="A256" s="45" t="s">
        <v>8</v>
      </c>
      <c r="B256" s="15"/>
      <c r="C256" s="12"/>
      <c r="D256" s="12"/>
      <c r="E256" s="12"/>
      <c r="F256" s="12"/>
      <c r="G256" s="12"/>
      <c r="H256" s="12"/>
      <c r="I256" s="12"/>
      <c r="J256" s="12"/>
      <c r="K256" s="12"/>
      <c r="L256" s="12"/>
      <c r="M256" s="12"/>
      <c r="N256" s="12"/>
      <c r="O256" s="12"/>
      <c r="P256" s="12"/>
      <c r="Q256" s="12"/>
      <c r="R256" s="12"/>
      <c r="S256" s="51"/>
      <c r="T256" s="12"/>
      <c r="U256" s="12"/>
      <c r="V256" s="12"/>
      <c r="W256" s="12"/>
      <c r="X256" s="12"/>
      <c r="Y256" s="51"/>
      <c r="Z256" s="21"/>
      <c r="AA256" s="12"/>
      <c r="AB256" s="12"/>
      <c r="AC256" s="13"/>
    </row>
    <row r="257" spans="1:29" x14ac:dyDescent="0.35">
      <c r="A257" s="15" t="s">
        <v>2</v>
      </c>
      <c r="B257" s="15"/>
      <c r="C257" s="12">
        <v>0</v>
      </c>
      <c r="D257" s="12"/>
      <c r="E257" s="12">
        <v>0</v>
      </c>
      <c r="F257" s="12"/>
      <c r="G257" s="12">
        <v>0</v>
      </c>
      <c r="H257" s="12"/>
      <c r="I257" s="12">
        <v>773177.69</v>
      </c>
      <c r="J257" s="12"/>
      <c r="K257" s="12">
        <v>1817335.18</v>
      </c>
      <c r="L257" s="12"/>
      <c r="M257" s="12">
        <v>1725370.69</v>
      </c>
      <c r="N257" s="12"/>
      <c r="O257" s="12">
        <v>1567898.9</v>
      </c>
      <c r="P257" s="12"/>
      <c r="Q257" s="12">
        <v>1449668.74</v>
      </c>
      <c r="R257" s="12"/>
      <c r="S257" s="51">
        <v>575034.73</v>
      </c>
      <c r="T257" s="12"/>
      <c r="U257" s="12">
        <v>0</v>
      </c>
      <c r="V257" s="12"/>
      <c r="W257" s="12">
        <v>0</v>
      </c>
      <c r="X257" s="12"/>
      <c r="Y257" s="51">
        <v>75020.05</v>
      </c>
      <c r="Z257" s="21"/>
      <c r="AA257" s="12">
        <f>SUM(C257:Z257)</f>
        <v>7983505.9800000014</v>
      </c>
      <c r="AB257" s="12">
        <f>AA257</f>
        <v>7983505.9800000014</v>
      </c>
      <c r="AC257" s="13"/>
    </row>
    <row r="258" spans="1:29" x14ac:dyDescent="0.35">
      <c r="A258" s="15" t="s">
        <v>5</v>
      </c>
      <c r="B258" s="15"/>
      <c r="C258" s="12">
        <v>0</v>
      </c>
      <c r="D258" s="12"/>
      <c r="E258" s="12">
        <v>0</v>
      </c>
      <c r="F258" s="12"/>
      <c r="G258" s="12">
        <v>0</v>
      </c>
      <c r="H258" s="12"/>
      <c r="I258" s="12">
        <v>178682.02</v>
      </c>
      <c r="J258" s="12"/>
      <c r="K258" s="12">
        <v>349908.86</v>
      </c>
      <c r="L258" s="12"/>
      <c r="M258" s="12">
        <v>8850.89</v>
      </c>
      <c r="N258" s="12"/>
      <c r="O258" s="12">
        <v>212073.06</v>
      </c>
      <c r="P258" s="12"/>
      <c r="Q258" s="12">
        <v>66881.710000000006</v>
      </c>
      <c r="R258" s="12"/>
      <c r="S258" s="51">
        <v>-52736.24</v>
      </c>
      <c r="T258" s="12"/>
      <c r="U258" s="12">
        <v>0</v>
      </c>
      <c r="V258" s="12"/>
      <c r="W258" s="12">
        <v>0</v>
      </c>
      <c r="X258" s="12"/>
      <c r="Y258" s="51">
        <v>-19899.740000000002</v>
      </c>
      <c r="Z258" s="21"/>
      <c r="AA258" s="12">
        <f>SUM(C258:Z258)</f>
        <v>743760.56</v>
      </c>
      <c r="AB258" s="12">
        <f>AA258</f>
        <v>743760.56</v>
      </c>
      <c r="AC258" s="13"/>
    </row>
    <row r="259" spans="1:29" x14ac:dyDescent="0.35">
      <c r="A259" s="15" t="s">
        <v>10</v>
      </c>
      <c r="B259" s="15"/>
      <c r="C259" s="12">
        <v>0</v>
      </c>
      <c r="D259" s="12"/>
      <c r="E259" s="12">
        <v>0</v>
      </c>
      <c r="F259" s="12"/>
      <c r="G259" s="12">
        <v>0</v>
      </c>
      <c r="H259" s="12"/>
      <c r="I259" s="12">
        <v>60751.89</v>
      </c>
      <c r="J259" s="12"/>
      <c r="K259" s="12">
        <v>118969.01</v>
      </c>
      <c r="L259" s="12"/>
      <c r="M259" s="12">
        <v>3009.3</v>
      </c>
      <c r="N259" s="12"/>
      <c r="O259" s="12">
        <v>72104.84</v>
      </c>
      <c r="P259" s="12"/>
      <c r="Q259" s="12">
        <v>22739.78</v>
      </c>
      <c r="R259" s="12"/>
      <c r="S259" s="51">
        <v>-17930.32</v>
      </c>
      <c r="T259" s="12"/>
      <c r="U259" s="12">
        <v>0</v>
      </c>
      <c r="V259" s="12"/>
      <c r="W259" s="12">
        <v>0</v>
      </c>
      <c r="X259" s="12"/>
      <c r="Y259" s="51">
        <v>-6765.91</v>
      </c>
      <c r="Z259" s="21"/>
      <c r="AA259" s="12">
        <f>SUM(C259:Z259)</f>
        <v>252878.58999999994</v>
      </c>
      <c r="AB259" s="12">
        <f>AA259</f>
        <v>252878.58999999994</v>
      </c>
      <c r="AC259" s="13"/>
    </row>
    <row r="260" spans="1:29" x14ac:dyDescent="0.35">
      <c r="A260" s="17" t="s">
        <v>7</v>
      </c>
      <c r="B260" s="15"/>
      <c r="C260" s="12">
        <v>0</v>
      </c>
      <c r="D260" s="12"/>
      <c r="E260" s="12">
        <v>0</v>
      </c>
      <c r="F260" s="12"/>
      <c r="G260" s="12">
        <v>0</v>
      </c>
      <c r="H260" s="12"/>
      <c r="I260" s="12">
        <v>3573.64</v>
      </c>
      <c r="J260" s="12"/>
      <c r="K260" s="12">
        <v>6998.18</v>
      </c>
      <c r="L260" s="12"/>
      <c r="M260" s="12">
        <v>177.02</v>
      </c>
      <c r="N260" s="12"/>
      <c r="O260" s="12">
        <v>4241.46</v>
      </c>
      <c r="P260" s="12"/>
      <c r="Q260" s="12">
        <v>1337.63</v>
      </c>
      <c r="R260" s="12"/>
      <c r="S260" s="51">
        <v>-1054.72</v>
      </c>
      <c r="T260" s="12"/>
      <c r="U260" s="12">
        <v>0</v>
      </c>
      <c r="V260" s="12"/>
      <c r="W260" s="12">
        <v>0</v>
      </c>
      <c r="X260" s="12"/>
      <c r="Y260" s="51">
        <v>-397.99</v>
      </c>
      <c r="Z260" s="21"/>
      <c r="AA260" s="12">
        <f>SUM(C260:Z260)</f>
        <v>14875.220000000001</v>
      </c>
      <c r="AB260" s="12">
        <f>AA260</f>
        <v>14875.220000000001</v>
      </c>
      <c r="AC260" s="13"/>
    </row>
    <row r="261" spans="1:29" x14ac:dyDescent="0.35">
      <c r="A261" s="45" t="s">
        <v>9</v>
      </c>
      <c r="B261" s="15"/>
      <c r="C261" s="12"/>
      <c r="D261" s="12"/>
      <c r="E261" s="12"/>
      <c r="F261" s="12"/>
      <c r="G261" s="12"/>
      <c r="H261" s="12"/>
      <c r="I261" s="12"/>
      <c r="J261" s="12"/>
      <c r="K261" s="12"/>
      <c r="L261" s="12"/>
      <c r="M261" s="12"/>
      <c r="N261" s="12"/>
      <c r="O261" s="12"/>
      <c r="P261" s="12"/>
      <c r="Q261" s="12"/>
      <c r="R261" s="12"/>
      <c r="S261" s="51"/>
      <c r="T261" s="12"/>
      <c r="U261" s="12"/>
      <c r="V261" s="12"/>
      <c r="W261" s="12"/>
      <c r="X261" s="12"/>
      <c r="Y261" s="51"/>
      <c r="Z261" s="21"/>
      <c r="AA261" s="12"/>
      <c r="AB261" s="12"/>
      <c r="AC261" s="13"/>
    </row>
    <row r="262" spans="1:29" x14ac:dyDescent="0.35">
      <c r="A262" s="15" t="s">
        <v>2</v>
      </c>
      <c r="B262" s="15"/>
      <c r="C262" s="12">
        <v>0</v>
      </c>
      <c r="D262" s="12"/>
      <c r="E262" s="12">
        <v>0</v>
      </c>
      <c r="F262" s="12"/>
      <c r="G262" s="12">
        <v>0</v>
      </c>
      <c r="H262" s="12"/>
      <c r="I262" s="12">
        <v>0</v>
      </c>
      <c r="J262" s="12"/>
      <c r="K262" s="12">
        <v>16247800.619999999</v>
      </c>
      <c r="L262" s="12"/>
      <c r="M262" s="12">
        <v>35914750.590000004</v>
      </c>
      <c r="N262" s="12"/>
      <c r="O262" s="12">
        <v>58666846.439999998</v>
      </c>
      <c r="P262" s="12"/>
      <c r="Q262" s="12">
        <v>72323303.900000006</v>
      </c>
      <c r="R262" s="12"/>
      <c r="S262" s="51">
        <v>28629146.300000001</v>
      </c>
      <c r="T262" s="12"/>
      <c r="U262" s="12">
        <v>12591292.52</v>
      </c>
      <c r="V262" s="12"/>
      <c r="W262" s="12">
        <v>21766738.789999999</v>
      </c>
      <c r="X262" s="12"/>
      <c r="Y262" s="51">
        <v>24991854.59</v>
      </c>
      <c r="Z262" s="21"/>
      <c r="AA262" s="12">
        <f t="shared" ref="AA262:AA267" si="52">SUM(C262:Z262)</f>
        <v>271131733.75</v>
      </c>
      <c r="AB262" s="12">
        <f t="shared" ref="AB262:AB267" si="53">AA262</f>
        <v>271131733.75</v>
      </c>
      <c r="AC262" s="13"/>
    </row>
    <row r="263" spans="1:29" x14ac:dyDescent="0.35">
      <c r="A263" s="15" t="s">
        <v>3</v>
      </c>
      <c r="B263" s="15"/>
      <c r="C263" s="12">
        <v>0</v>
      </c>
      <c r="D263" s="12"/>
      <c r="E263" s="12">
        <v>0</v>
      </c>
      <c r="F263" s="12"/>
      <c r="G263" s="12">
        <v>0</v>
      </c>
      <c r="H263" s="12"/>
      <c r="I263" s="12">
        <v>0</v>
      </c>
      <c r="J263" s="12"/>
      <c r="K263" s="12">
        <v>1634259.33</v>
      </c>
      <c r="L263" s="12"/>
      <c r="M263" s="12">
        <v>2152316.87</v>
      </c>
      <c r="N263" s="12"/>
      <c r="O263" s="12">
        <v>5640317.3399999999</v>
      </c>
      <c r="P263" s="12"/>
      <c r="Q263" s="12">
        <v>3371658.18</v>
      </c>
      <c r="R263" s="12"/>
      <c r="S263" s="51">
        <v>2174217.12</v>
      </c>
      <c r="T263" s="12"/>
      <c r="U263" s="12">
        <v>815109.83</v>
      </c>
      <c r="V263" s="12"/>
      <c r="W263" s="12">
        <v>1309314.28</v>
      </c>
      <c r="X263" s="12"/>
      <c r="Y263" s="51">
        <v>1785562.94</v>
      </c>
      <c r="Z263" s="21"/>
      <c r="AA263" s="12">
        <f t="shared" si="52"/>
        <v>18882755.890000001</v>
      </c>
      <c r="AB263" s="12">
        <f t="shared" si="53"/>
        <v>18882755.890000001</v>
      </c>
      <c r="AC263" s="13"/>
    </row>
    <row r="264" spans="1:29" x14ac:dyDescent="0.35">
      <c r="A264" s="15" t="s">
        <v>4</v>
      </c>
      <c r="B264" s="15"/>
      <c r="C264" s="12">
        <v>0</v>
      </c>
      <c r="D264" s="12"/>
      <c r="E264" s="12">
        <v>0</v>
      </c>
      <c r="F264" s="12"/>
      <c r="G264" s="12">
        <v>0</v>
      </c>
      <c r="H264" s="12"/>
      <c r="I264" s="12">
        <v>0</v>
      </c>
      <c r="J264" s="12"/>
      <c r="K264" s="12">
        <v>582597.72</v>
      </c>
      <c r="L264" s="12"/>
      <c r="M264" s="12">
        <v>1419433.78</v>
      </c>
      <c r="N264" s="12"/>
      <c r="O264" s="12">
        <v>2805228.28</v>
      </c>
      <c r="P264" s="12"/>
      <c r="Q264" s="12">
        <v>2371093.7799999998</v>
      </c>
      <c r="R264" s="12"/>
      <c r="S264" s="51">
        <v>649439.99</v>
      </c>
      <c r="T264" s="12"/>
      <c r="U264" s="12">
        <v>108520.37</v>
      </c>
      <c r="V264" s="12"/>
      <c r="W264" s="12">
        <v>400679.16</v>
      </c>
      <c r="X264" s="12"/>
      <c r="Y264" s="51">
        <v>418563.51</v>
      </c>
      <c r="Z264" s="21"/>
      <c r="AA264" s="12">
        <f t="shared" si="52"/>
        <v>8755556.5899999999</v>
      </c>
      <c r="AB264" s="12">
        <f t="shared" si="53"/>
        <v>8755556.5899999999</v>
      </c>
      <c r="AC264" s="13"/>
    </row>
    <row r="265" spans="1:29" x14ac:dyDescent="0.35">
      <c r="A265" s="15" t="s">
        <v>5</v>
      </c>
      <c r="B265" s="15"/>
      <c r="C265" s="12">
        <v>0</v>
      </c>
      <c r="D265" s="12"/>
      <c r="E265" s="12">
        <v>0</v>
      </c>
      <c r="F265" s="12"/>
      <c r="G265" s="12">
        <v>0</v>
      </c>
      <c r="H265" s="12"/>
      <c r="I265" s="12">
        <v>0</v>
      </c>
      <c r="J265" s="12"/>
      <c r="K265" s="12">
        <v>1051661.6100000001</v>
      </c>
      <c r="L265" s="12"/>
      <c r="M265" s="12">
        <v>732883.09</v>
      </c>
      <c r="N265" s="12"/>
      <c r="O265" s="12">
        <v>2835089.06</v>
      </c>
      <c r="P265" s="12"/>
      <c r="Q265" s="12">
        <v>1000564.4</v>
      </c>
      <c r="R265" s="12"/>
      <c r="S265" s="51">
        <v>1524777.13</v>
      </c>
      <c r="T265" s="12"/>
      <c r="U265" s="12">
        <v>706589.46</v>
      </c>
      <c r="V265" s="12"/>
      <c r="W265" s="12">
        <v>908635.12</v>
      </c>
      <c r="X265" s="12"/>
      <c r="Y265" s="51">
        <v>1366999.43</v>
      </c>
      <c r="Z265" s="21"/>
      <c r="AA265" s="12">
        <f t="shared" si="52"/>
        <v>10127199.299999999</v>
      </c>
      <c r="AB265" s="12">
        <f t="shared" si="53"/>
        <v>10127199.299999999</v>
      </c>
      <c r="AC265" s="13"/>
    </row>
    <row r="266" spans="1:29" x14ac:dyDescent="0.35">
      <c r="A266" s="15" t="s">
        <v>10</v>
      </c>
      <c r="B266" s="15"/>
      <c r="C266" s="12">
        <v>0</v>
      </c>
      <c r="D266" s="12"/>
      <c r="E266" s="12">
        <v>0</v>
      </c>
      <c r="F266" s="12"/>
      <c r="G266" s="12">
        <v>0</v>
      </c>
      <c r="H266" s="12"/>
      <c r="I266" s="12">
        <v>0</v>
      </c>
      <c r="J266" s="12"/>
      <c r="K266" s="12">
        <v>357564.95</v>
      </c>
      <c r="L266" s="12"/>
      <c r="M266" s="12">
        <v>249180.25</v>
      </c>
      <c r="N266" s="12"/>
      <c r="O266" s="12">
        <v>963930.28</v>
      </c>
      <c r="P266" s="12"/>
      <c r="Q266" s="12">
        <v>340191.9</v>
      </c>
      <c r="R266" s="12"/>
      <c r="S266" s="51">
        <v>518424.22</v>
      </c>
      <c r="T266" s="12"/>
      <c r="U266" s="12">
        <v>240240.42</v>
      </c>
      <c r="V266" s="12"/>
      <c r="W266" s="12">
        <v>308935.94</v>
      </c>
      <c r="X266" s="12"/>
      <c r="Y266" s="51">
        <v>464779.81</v>
      </c>
      <c r="Z266" s="21"/>
      <c r="AA266" s="12">
        <f t="shared" si="52"/>
        <v>3443247.7699999996</v>
      </c>
      <c r="AB266" s="12">
        <f t="shared" si="53"/>
        <v>3443247.7699999996</v>
      </c>
      <c r="AC266" s="13"/>
    </row>
    <row r="267" spans="1:29" x14ac:dyDescent="0.35">
      <c r="A267" s="17" t="s">
        <v>7</v>
      </c>
      <c r="B267" s="15"/>
      <c r="C267" s="12">
        <v>0</v>
      </c>
      <c r="D267" s="12"/>
      <c r="E267" s="12">
        <v>0</v>
      </c>
      <c r="F267" s="12"/>
      <c r="G267" s="12">
        <v>0</v>
      </c>
      <c r="H267" s="12"/>
      <c r="I267" s="12">
        <v>0</v>
      </c>
      <c r="J267" s="12"/>
      <c r="K267" s="12">
        <v>21033.23</v>
      </c>
      <c r="L267" s="12"/>
      <c r="M267" s="12">
        <v>14657.66</v>
      </c>
      <c r="N267" s="12"/>
      <c r="O267" s="12">
        <v>56701.78</v>
      </c>
      <c r="P267" s="12"/>
      <c r="Q267" s="12">
        <v>20011.29</v>
      </c>
      <c r="R267" s="12"/>
      <c r="S267" s="51">
        <v>30495.54</v>
      </c>
      <c r="T267" s="12"/>
      <c r="U267" s="12">
        <v>14131.79</v>
      </c>
      <c r="V267" s="12"/>
      <c r="W267" s="12">
        <v>18172.7</v>
      </c>
      <c r="X267" s="12"/>
      <c r="Y267" s="51">
        <v>27339.99</v>
      </c>
      <c r="Z267" s="21"/>
      <c r="AA267" s="12">
        <f t="shared" si="52"/>
        <v>202543.98</v>
      </c>
      <c r="AB267" s="12">
        <f t="shared" si="53"/>
        <v>202543.98</v>
      </c>
      <c r="AC267" s="13"/>
    </row>
    <row r="268" spans="1:29" x14ac:dyDescent="0.35">
      <c r="A268" s="17"/>
      <c r="B268" s="15"/>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21"/>
      <c r="AA268" s="12"/>
      <c r="AB268" s="12"/>
      <c r="AC268" s="13"/>
    </row>
    <row r="269" spans="1:29" x14ac:dyDescent="0.35">
      <c r="A269" s="17"/>
      <c r="B269" s="15"/>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21"/>
      <c r="AA269" s="12"/>
      <c r="AB269" s="12"/>
      <c r="AC269" s="13"/>
    </row>
    <row r="270" spans="1:29" x14ac:dyDescent="0.35">
      <c r="A270" s="11" t="s">
        <v>40</v>
      </c>
      <c r="B270" s="15"/>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21"/>
      <c r="AA270" s="12"/>
      <c r="AB270" s="12"/>
      <c r="AC270" s="13"/>
    </row>
    <row r="271" spans="1:29" x14ac:dyDescent="0.35">
      <c r="A271" s="45" t="s">
        <v>1</v>
      </c>
      <c r="B271" s="15"/>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21"/>
      <c r="AA271" s="12"/>
      <c r="AB271" s="12"/>
      <c r="AC271" s="13"/>
    </row>
    <row r="272" spans="1:29" x14ac:dyDescent="0.35">
      <c r="A272" s="15" t="s">
        <v>2</v>
      </c>
      <c r="B272" s="15"/>
      <c r="C272" s="12">
        <v>0</v>
      </c>
      <c r="D272" s="12"/>
      <c r="E272" s="12">
        <v>0</v>
      </c>
      <c r="F272" s="12"/>
      <c r="G272" s="12">
        <v>0</v>
      </c>
      <c r="H272" s="12"/>
      <c r="I272" s="12">
        <v>0</v>
      </c>
      <c r="J272" s="12"/>
      <c r="K272" s="12">
        <v>0</v>
      </c>
      <c r="L272" s="12"/>
      <c r="M272" s="12">
        <v>0</v>
      </c>
      <c r="N272" s="12"/>
      <c r="O272" s="12">
        <v>0</v>
      </c>
      <c r="P272" s="12"/>
      <c r="Q272" s="12">
        <v>0</v>
      </c>
      <c r="R272" s="12"/>
      <c r="S272" s="12">
        <v>176493.84</v>
      </c>
      <c r="T272" s="12"/>
      <c r="U272" s="12">
        <v>0</v>
      </c>
      <c r="V272" s="12"/>
      <c r="W272" s="12">
        <v>0</v>
      </c>
      <c r="X272" s="12"/>
      <c r="Y272" s="12">
        <v>0</v>
      </c>
      <c r="Z272" s="21"/>
      <c r="AA272" s="12">
        <f t="shared" ref="AA272:AA277" si="54">SUM(C272:Z272)</f>
        <v>176493.84</v>
      </c>
      <c r="AB272" s="12">
        <f t="shared" ref="AB272:AB277" si="55">AA272</f>
        <v>176493.84</v>
      </c>
      <c r="AC272" s="13"/>
    </row>
    <row r="273" spans="1:29" x14ac:dyDescent="0.35">
      <c r="A273" s="15" t="s">
        <v>3</v>
      </c>
      <c r="B273" s="15"/>
      <c r="C273" s="12">
        <v>0</v>
      </c>
      <c r="D273" s="12"/>
      <c r="E273" s="12">
        <v>0</v>
      </c>
      <c r="F273" s="12"/>
      <c r="G273" s="12">
        <v>0</v>
      </c>
      <c r="H273" s="12"/>
      <c r="I273" s="12">
        <v>0</v>
      </c>
      <c r="J273" s="12"/>
      <c r="K273" s="12">
        <v>0</v>
      </c>
      <c r="L273" s="12"/>
      <c r="M273" s="12">
        <v>0</v>
      </c>
      <c r="N273" s="12"/>
      <c r="O273" s="12">
        <v>0</v>
      </c>
      <c r="P273" s="12"/>
      <c r="Q273" s="12">
        <v>0</v>
      </c>
      <c r="R273" s="12"/>
      <c r="S273" s="12">
        <v>44078.28</v>
      </c>
      <c r="T273" s="12"/>
      <c r="U273" s="12">
        <v>0</v>
      </c>
      <c r="V273" s="12"/>
      <c r="W273" s="12">
        <v>0</v>
      </c>
      <c r="X273" s="12"/>
      <c r="Y273" s="12">
        <v>0</v>
      </c>
      <c r="Z273" s="21"/>
      <c r="AA273" s="12">
        <f t="shared" si="54"/>
        <v>44078.28</v>
      </c>
      <c r="AB273" s="12">
        <f t="shared" si="55"/>
        <v>44078.28</v>
      </c>
      <c r="AC273" s="13"/>
    </row>
    <row r="274" spans="1:29" x14ac:dyDescent="0.35">
      <c r="A274" s="15" t="s">
        <v>4</v>
      </c>
      <c r="B274" s="15"/>
      <c r="C274" s="12">
        <v>0</v>
      </c>
      <c r="D274" s="12"/>
      <c r="E274" s="12">
        <v>0</v>
      </c>
      <c r="F274" s="12"/>
      <c r="G274" s="12">
        <v>0</v>
      </c>
      <c r="H274" s="12"/>
      <c r="I274" s="12">
        <v>0</v>
      </c>
      <c r="J274" s="12"/>
      <c r="K274" s="12">
        <v>0</v>
      </c>
      <c r="L274" s="12"/>
      <c r="M274" s="12">
        <v>0</v>
      </c>
      <c r="N274" s="12"/>
      <c r="O274" s="12">
        <v>0</v>
      </c>
      <c r="P274" s="12"/>
      <c r="Q274" s="12">
        <v>0</v>
      </c>
      <c r="R274" s="12"/>
      <c r="S274" s="12">
        <v>0</v>
      </c>
      <c r="T274" s="12"/>
      <c r="U274" s="12">
        <v>0</v>
      </c>
      <c r="V274" s="12"/>
      <c r="W274" s="12">
        <v>0</v>
      </c>
      <c r="X274" s="12"/>
      <c r="Y274" s="12">
        <v>0</v>
      </c>
      <c r="Z274" s="21"/>
      <c r="AA274" s="12">
        <f t="shared" si="54"/>
        <v>0</v>
      </c>
      <c r="AB274" s="12">
        <f t="shared" si="55"/>
        <v>0</v>
      </c>
      <c r="AC274" s="13"/>
    </row>
    <row r="275" spans="1:29" x14ac:dyDescent="0.35">
      <c r="A275" s="15" t="s">
        <v>5</v>
      </c>
      <c r="B275" s="15"/>
      <c r="C275" s="12">
        <v>0</v>
      </c>
      <c r="D275" s="12"/>
      <c r="E275" s="12">
        <v>0</v>
      </c>
      <c r="F275" s="12"/>
      <c r="G275" s="12">
        <v>0</v>
      </c>
      <c r="H275" s="12"/>
      <c r="I275" s="12">
        <v>0</v>
      </c>
      <c r="J275" s="12"/>
      <c r="K275" s="12">
        <v>0</v>
      </c>
      <c r="L275" s="12"/>
      <c r="M275" s="12">
        <v>0</v>
      </c>
      <c r="N275" s="12"/>
      <c r="O275" s="12">
        <v>0</v>
      </c>
      <c r="P275" s="12"/>
      <c r="Q275" s="12">
        <v>0</v>
      </c>
      <c r="R275" s="12"/>
      <c r="S275" s="12">
        <v>44078.28</v>
      </c>
      <c r="T275" s="12"/>
      <c r="U275" s="12">
        <v>0</v>
      </c>
      <c r="V275" s="12"/>
      <c r="W275" s="12">
        <v>0</v>
      </c>
      <c r="X275" s="12"/>
      <c r="Y275" s="12">
        <v>0</v>
      </c>
      <c r="Z275" s="21"/>
      <c r="AA275" s="12">
        <f t="shared" si="54"/>
        <v>44078.28</v>
      </c>
      <c r="AB275" s="12">
        <f t="shared" si="55"/>
        <v>44078.28</v>
      </c>
      <c r="AC275" s="13"/>
    </row>
    <row r="276" spans="1:29" x14ac:dyDescent="0.35">
      <c r="A276" s="15" t="s">
        <v>6</v>
      </c>
      <c r="B276" s="15"/>
      <c r="C276" s="12">
        <v>0</v>
      </c>
      <c r="D276" s="12"/>
      <c r="E276" s="12">
        <v>0</v>
      </c>
      <c r="F276" s="12"/>
      <c r="G276" s="12">
        <v>0</v>
      </c>
      <c r="H276" s="12"/>
      <c r="I276" s="12">
        <v>0</v>
      </c>
      <c r="J276" s="12"/>
      <c r="K276" s="12">
        <v>0</v>
      </c>
      <c r="L276" s="12"/>
      <c r="M276" s="12">
        <v>0</v>
      </c>
      <c r="N276" s="12"/>
      <c r="O276" s="12">
        <v>0</v>
      </c>
      <c r="P276" s="12"/>
      <c r="Q276" s="12">
        <v>0</v>
      </c>
      <c r="R276" s="12"/>
      <c r="S276" s="12">
        <v>14986.62</v>
      </c>
      <c r="T276" s="12"/>
      <c r="U276" s="12">
        <v>0</v>
      </c>
      <c r="V276" s="12"/>
      <c r="W276" s="12">
        <v>0</v>
      </c>
      <c r="X276" s="12"/>
      <c r="Y276" s="12">
        <v>0</v>
      </c>
      <c r="Z276" s="21"/>
      <c r="AA276" s="12">
        <f t="shared" si="54"/>
        <v>14986.62</v>
      </c>
      <c r="AB276" s="12">
        <f t="shared" si="55"/>
        <v>14986.62</v>
      </c>
      <c r="AC276" s="13"/>
    </row>
    <row r="277" spans="1:29" x14ac:dyDescent="0.35">
      <c r="A277" s="17" t="s">
        <v>7</v>
      </c>
      <c r="B277" s="15"/>
      <c r="C277" s="12">
        <v>0</v>
      </c>
      <c r="D277" s="12"/>
      <c r="E277" s="12">
        <v>0</v>
      </c>
      <c r="F277" s="12"/>
      <c r="G277" s="12">
        <v>0</v>
      </c>
      <c r="H277" s="12"/>
      <c r="I277" s="12">
        <v>0</v>
      </c>
      <c r="J277" s="12"/>
      <c r="K277" s="12">
        <v>0</v>
      </c>
      <c r="L277" s="12"/>
      <c r="M277" s="12">
        <v>0</v>
      </c>
      <c r="N277" s="12"/>
      <c r="O277" s="12">
        <v>0</v>
      </c>
      <c r="P277" s="12"/>
      <c r="Q277" s="12">
        <v>0</v>
      </c>
      <c r="R277" s="12"/>
      <c r="S277" s="12">
        <v>881.57</v>
      </c>
      <c r="T277" s="12"/>
      <c r="U277" s="12">
        <v>0</v>
      </c>
      <c r="V277" s="12"/>
      <c r="W277" s="12">
        <v>0</v>
      </c>
      <c r="X277" s="12"/>
      <c r="Y277" s="12">
        <v>0</v>
      </c>
      <c r="Z277" s="21"/>
      <c r="AA277" s="12">
        <f t="shared" si="54"/>
        <v>881.57</v>
      </c>
      <c r="AB277" s="12">
        <f t="shared" si="55"/>
        <v>881.57</v>
      </c>
      <c r="AC277" s="13"/>
    </row>
    <row r="278" spans="1:29" x14ac:dyDescent="0.35">
      <c r="A278" s="45" t="s">
        <v>8</v>
      </c>
      <c r="B278" s="15"/>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21"/>
      <c r="AA278" s="12"/>
      <c r="AB278" s="12"/>
      <c r="AC278" s="13"/>
    </row>
    <row r="279" spans="1:29" x14ac:dyDescent="0.35">
      <c r="A279" s="15" t="s">
        <v>2</v>
      </c>
      <c r="B279" s="15"/>
      <c r="C279" s="12">
        <v>0</v>
      </c>
      <c r="D279" s="12"/>
      <c r="E279" s="12">
        <v>0</v>
      </c>
      <c r="F279" s="12"/>
      <c r="G279" s="12">
        <v>0</v>
      </c>
      <c r="H279" s="12"/>
      <c r="I279" s="12">
        <v>0</v>
      </c>
      <c r="J279" s="12"/>
      <c r="K279" s="12">
        <v>0</v>
      </c>
      <c r="L279" s="12"/>
      <c r="M279" s="12">
        <v>0</v>
      </c>
      <c r="N279" s="12"/>
      <c r="O279" s="12">
        <v>0</v>
      </c>
      <c r="P279" s="12"/>
      <c r="Q279" s="12">
        <v>0</v>
      </c>
      <c r="R279" s="12"/>
      <c r="S279" s="12">
        <v>176493.84</v>
      </c>
      <c r="T279" s="12"/>
      <c r="U279" s="12">
        <v>0</v>
      </c>
      <c r="V279" s="12"/>
      <c r="W279" s="12">
        <v>0</v>
      </c>
      <c r="X279" s="12"/>
      <c r="Y279" s="12">
        <v>0</v>
      </c>
      <c r="Z279" s="21"/>
      <c r="AA279" s="12">
        <f>SUM(C279:Z279)</f>
        <v>176493.84</v>
      </c>
      <c r="AB279" s="12">
        <f>AA279</f>
        <v>176493.84</v>
      </c>
      <c r="AC279" s="13"/>
    </row>
    <row r="280" spans="1:29" x14ac:dyDescent="0.35">
      <c r="A280" s="15" t="s">
        <v>5</v>
      </c>
      <c r="B280" s="15"/>
      <c r="C280" s="12">
        <v>0</v>
      </c>
      <c r="D280" s="12"/>
      <c r="E280" s="12">
        <v>0</v>
      </c>
      <c r="F280" s="12"/>
      <c r="G280" s="12">
        <v>0</v>
      </c>
      <c r="H280" s="12"/>
      <c r="I280" s="12">
        <v>0</v>
      </c>
      <c r="J280" s="12"/>
      <c r="K280" s="12">
        <v>0</v>
      </c>
      <c r="L280" s="12"/>
      <c r="M280" s="12">
        <v>0</v>
      </c>
      <c r="N280" s="12"/>
      <c r="O280" s="12">
        <v>0</v>
      </c>
      <c r="P280" s="12"/>
      <c r="Q280" s="12">
        <v>0</v>
      </c>
      <c r="R280" s="12"/>
      <c r="S280" s="12">
        <v>44078.28</v>
      </c>
      <c r="T280" s="12"/>
      <c r="U280" s="12">
        <v>0</v>
      </c>
      <c r="V280" s="12"/>
      <c r="W280" s="12">
        <v>0</v>
      </c>
      <c r="X280" s="12"/>
      <c r="Y280" s="12">
        <v>0</v>
      </c>
      <c r="Z280" s="21"/>
      <c r="AA280" s="12">
        <f>SUM(C280:Z280)</f>
        <v>44078.28</v>
      </c>
      <c r="AB280" s="12">
        <f>AA280</f>
        <v>44078.28</v>
      </c>
      <c r="AC280" s="13"/>
    </row>
    <row r="281" spans="1:29" x14ac:dyDescent="0.35">
      <c r="A281" s="15" t="s">
        <v>10</v>
      </c>
      <c r="B281" s="15"/>
      <c r="C281" s="12">
        <v>0</v>
      </c>
      <c r="D281" s="12"/>
      <c r="E281" s="12">
        <v>0</v>
      </c>
      <c r="F281" s="12"/>
      <c r="G281" s="12">
        <v>0</v>
      </c>
      <c r="H281" s="12"/>
      <c r="I281" s="12">
        <v>0</v>
      </c>
      <c r="J281" s="12"/>
      <c r="K281" s="12">
        <v>0</v>
      </c>
      <c r="L281" s="12"/>
      <c r="M281" s="12">
        <v>0</v>
      </c>
      <c r="N281" s="12"/>
      <c r="O281" s="12">
        <v>0</v>
      </c>
      <c r="P281" s="12"/>
      <c r="Q281" s="12">
        <v>0</v>
      </c>
      <c r="R281" s="12"/>
      <c r="S281" s="12">
        <v>14986.62</v>
      </c>
      <c r="T281" s="12"/>
      <c r="U281" s="12">
        <v>0</v>
      </c>
      <c r="V281" s="12"/>
      <c r="W281" s="12">
        <v>0</v>
      </c>
      <c r="X281" s="12"/>
      <c r="Y281" s="12">
        <v>0</v>
      </c>
      <c r="Z281" s="21"/>
      <c r="AA281" s="12">
        <f>SUM(C281:Z281)</f>
        <v>14986.62</v>
      </c>
      <c r="AB281" s="12">
        <f>AA281</f>
        <v>14986.62</v>
      </c>
      <c r="AC281" s="13"/>
    </row>
    <row r="282" spans="1:29" x14ac:dyDescent="0.35">
      <c r="A282" s="17" t="s">
        <v>7</v>
      </c>
      <c r="B282" s="15"/>
      <c r="C282" s="12">
        <v>0</v>
      </c>
      <c r="D282" s="12"/>
      <c r="E282" s="12">
        <v>0</v>
      </c>
      <c r="F282" s="12"/>
      <c r="G282" s="12">
        <v>0</v>
      </c>
      <c r="H282" s="12"/>
      <c r="I282" s="12">
        <v>0</v>
      </c>
      <c r="J282" s="12"/>
      <c r="K282" s="12">
        <v>0</v>
      </c>
      <c r="L282" s="12"/>
      <c r="M282" s="12">
        <v>0</v>
      </c>
      <c r="N282" s="12"/>
      <c r="O282" s="12">
        <v>0</v>
      </c>
      <c r="P282" s="12"/>
      <c r="Q282" s="12">
        <v>0</v>
      </c>
      <c r="R282" s="12"/>
      <c r="S282" s="12">
        <v>881.57</v>
      </c>
      <c r="T282" s="12"/>
      <c r="U282" s="12">
        <v>0</v>
      </c>
      <c r="V282" s="12"/>
      <c r="W282" s="12">
        <v>0</v>
      </c>
      <c r="X282" s="12"/>
      <c r="Y282" s="12">
        <v>0</v>
      </c>
      <c r="Z282" s="21"/>
      <c r="AA282" s="12">
        <f>SUM(C282:Z282)</f>
        <v>881.57</v>
      </c>
      <c r="AB282" s="12">
        <f>AA282</f>
        <v>881.57</v>
      </c>
      <c r="AC282" s="13"/>
    </row>
    <row r="283" spans="1:29" x14ac:dyDescent="0.35">
      <c r="A283" s="45" t="s">
        <v>9</v>
      </c>
      <c r="B283" s="15"/>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21"/>
      <c r="AA283" s="12"/>
      <c r="AB283" s="12"/>
      <c r="AC283" s="13"/>
    </row>
    <row r="284" spans="1:29" x14ac:dyDescent="0.35">
      <c r="A284" s="15" t="s">
        <v>2</v>
      </c>
      <c r="B284" s="15"/>
      <c r="C284" s="12">
        <v>0</v>
      </c>
      <c r="D284" s="12"/>
      <c r="E284" s="12">
        <v>0</v>
      </c>
      <c r="F284" s="12"/>
      <c r="G284" s="12">
        <v>0</v>
      </c>
      <c r="H284" s="12"/>
      <c r="I284" s="12">
        <v>0</v>
      </c>
      <c r="J284" s="12"/>
      <c r="K284" s="12">
        <v>0</v>
      </c>
      <c r="L284" s="12"/>
      <c r="M284" s="12">
        <v>0</v>
      </c>
      <c r="N284" s="12"/>
      <c r="O284" s="12">
        <v>0</v>
      </c>
      <c r="P284" s="12"/>
      <c r="Q284" s="12">
        <v>0</v>
      </c>
      <c r="R284" s="12"/>
      <c r="S284" s="12">
        <v>0</v>
      </c>
      <c r="T284" s="12"/>
      <c r="U284" s="12">
        <v>0</v>
      </c>
      <c r="V284" s="12"/>
      <c r="W284" s="12">
        <v>0</v>
      </c>
      <c r="X284" s="12"/>
      <c r="Y284" s="12">
        <v>0</v>
      </c>
      <c r="Z284" s="21"/>
      <c r="AA284" s="12">
        <f t="shared" ref="AA284:AA289" si="56">SUM(C284:Z284)</f>
        <v>0</v>
      </c>
      <c r="AB284" s="12">
        <f t="shared" ref="AB284:AB289" si="57">AA284</f>
        <v>0</v>
      </c>
      <c r="AC284" s="13"/>
    </row>
    <row r="285" spans="1:29" x14ac:dyDescent="0.35">
      <c r="A285" s="15" t="s">
        <v>3</v>
      </c>
      <c r="B285" s="15"/>
      <c r="C285" s="12">
        <v>0</v>
      </c>
      <c r="D285" s="12"/>
      <c r="E285" s="12">
        <v>0</v>
      </c>
      <c r="F285" s="12"/>
      <c r="G285" s="12">
        <v>0</v>
      </c>
      <c r="H285" s="12"/>
      <c r="I285" s="12">
        <v>0</v>
      </c>
      <c r="J285" s="12"/>
      <c r="K285" s="12">
        <v>0</v>
      </c>
      <c r="L285" s="12"/>
      <c r="M285" s="12">
        <v>0</v>
      </c>
      <c r="N285" s="12"/>
      <c r="O285" s="12">
        <v>0</v>
      </c>
      <c r="P285" s="12"/>
      <c r="Q285" s="12">
        <v>0</v>
      </c>
      <c r="R285" s="12"/>
      <c r="S285" s="12">
        <v>0</v>
      </c>
      <c r="T285" s="12"/>
      <c r="U285" s="12">
        <v>0</v>
      </c>
      <c r="V285" s="12"/>
      <c r="W285" s="12">
        <v>0</v>
      </c>
      <c r="X285" s="12"/>
      <c r="Y285" s="12">
        <v>0</v>
      </c>
      <c r="Z285" s="21"/>
      <c r="AA285" s="12">
        <f t="shared" si="56"/>
        <v>0</v>
      </c>
      <c r="AB285" s="12">
        <f t="shared" si="57"/>
        <v>0</v>
      </c>
      <c r="AC285" s="13"/>
    </row>
    <row r="286" spans="1:29" x14ac:dyDescent="0.35">
      <c r="A286" s="15" t="s">
        <v>4</v>
      </c>
      <c r="B286" s="15"/>
      <c r="C286" s="12">
        <v>0</v>
      </c>
      <c r="D286" s="12"/>
      <c r="E286" s="12">
        <v>0</v>
      </c>
      <c r="F286" s="12"/>
      <c r="G286" s="12">
        <v>0</v>
      </c>
      <c r="H286" s="12"/>
      <c r="I286" s="12">
        <v>0</v>
      </c>
      <c r="J286" s="12"/>
      <c r="K286" s="12">
        <v>0</v>
      </c>
      <c r="L286" s="12"/>
      <c r="M286" s="12">
        <v>0</v>
      </c>
      <c r="N286" s="12"/>
      <c r="O286" s="12">
        <v>0</v>
      </c>
      <c r="P286" s="12"/>
      <c r="Q286" s="12">
        <v>0</v>
      </c>
      <c r="R286" s="12"/>
      <c r="S286" s="12">
        <v>0</v>
      </c>
      <c r="T286" s="12"/>
      <c r="U286" s="12">
        <v>0</v>
      </c>
      <c r="V286" s="12"/>
      <c r="W286" s="12">
        <v>0</v>
      </c>
      <c r="X286" s="12"/>
      <c r="Y286" s="12">
        <v>0</v>
      </c>
      <c r="Z286" s="21"/>
      <c r="AA286" s="12">
        <f t="shared" si="56"/>
        <v>0</v>
      </c>
      <c r="AB286" s="12">
        <f t="shared" si="57"/>
        <v>0</v>
      </c>
      <c r="AC286" s="13"/>
    </row>
    <row r="287" spans="1:29" x14ac:dyDescent="0.35">
      <c r="A287" s="15" t="s">
        <v>5</v>
      </c>
      <c r="B287" s="15"/>
      <c r="C287" s="12">
        <v>0</v>
      </c>
      <c r="D287" s="12"/>
      <c r="E287" s="12">
        <v>0</v>
      </c>
      <c r="F287" s="12"/>
      <c r="G287" s="12">
        <v>0</v>
      </c>
      <c r="H287" s="12"/>
      <c r="I287" s="12">
        <v>0</v>
      </c>
      <c r="J287" s="12"/>
      <c r="K287" s="12">
        <v>0</v>
      </c>
      <c r="L287" s="12"/>
      <c r="M287" s="12">
        <v>0</v>
      </c>
      <c r="N287" s="12"/>
      <c r="O287" s="12">
        <v>0</v>
      </c>
      <c r="P287" s="12"/>
      <c r="Q287" s="12">
        <v>0</v>
      </c>
      <c r="R287" s="12"/>
      <c r="S287" s="12">
        <v>0</v>
      </c>
      <c r="T287" s="12"/>
      <c r="U287" s="12">
        <v>0</v>
      </c>
      <c r="V287" s="12"/>
      <c r="W287" s="12">
        <v>0</v>
      </c>
      <c r="X287" s="12"/>
      <c r="Y287" s="12">
        <v>0</v>
      </c>
      <c r="Z287" s="21"/>
      <c r="AA287" s="12">
        <f t="shared" si="56"/>
        <v>0</v>
      </c>
      <c r="AB287" s="12">
        <f t="shared" si="57"/>
        <v>0</v>
      </c>
      <c r="AC287" s="13"/>
    </row>
    <row r="288" spans="1:29" x14ac:dyDescent="0.35">
      <c r="A288" s="15" t="s">
        <v>10</v>
      </c>
      <c r="B288" s="15"/>
      <c r="C288" s="12">
        <v>0</v>
      </c>
      <c r="D288" s="12"/>
      <c r="E288" s="12">
        <v>0</v>
      </c>
      <c r="F288" s="12"/>
      <c r="G288" s="12">
        <v>0</v>
      </c>
      <c r="H288" s="12"/>
      <c r="I288" s="12">
        <v>0</v>
      </c>
      <c r="J288" s="12"/>
      <c r="K288" s="12">
        <v>0</v>
      </c>
      <c r="L288" s="12"/>
      <c r="M288" s="12">
        <v>0</v>
      </c>
      <c r="N288" s="12"/>
      <c r="O288" s="12">
        <v>0</v>
      </c>
      <c r="P288" s="12"/>
      <c r="Q288" s="12">
        <v>0</v>
      </c>
      <c r="R288" s="12"/>
      <c r="S288" s="12">
        <v>0</v>
      </c>
      <c r="T288" s="12"/>
      <c r="U288" s="12">
        <v>0</v>
      </c>
      <c r="V288" s="12"/>
      <c r="W288" s="12">
        <v>0</v>
      </c>
      <c r="X288" s="12"/>
      <c r="Y288" s="12">
        <v>0</v>
      </c>
      <c r="Z288" s="21"/>
      <c r="AA288" s="12">
        <f t="shared" si="56"/>
        <v>0</v>
      </c>
      <c r="AB288" s="12">
        <f t="shared" si="57"/>
        <v>0</v>
      </c>
      <c r="AC288" s="13"/>
    </row>
    <row r="289" spans="1:29" x14ac:dyDescent="0.35">
      <c r="A289" s="17" t="s">
        <v>7</v>
      </c>
      <c r="B289" s="15"/>
      <c r="C289" s="12">
        <v>0</v>
      </c>
      <c r="D289" s="12"/>
      <c r="E289" s="12">
        <v>0</v>
      </c>
      <c r="F289" s="12"/>
      <c r="G289" s="12">
        <v>0</v>
      </c>
      <c r="H289" s="12"/>
      <c r="I289" s="12">
        <v>0</v>
      </c>
      <c r="J289" s="12"/>
      <c r="K289" s="12">
        <v>0</v>
      </c>
      <c r="L289" s="12"/>
      <c r="M289" s="12">
        <v>0</v>
      </c>
      <c r="N289" s="12"/>
      <c r="O289" s="12">
        <v>0</v>
      </c>
      <c r="P289" s="12"/>
      <c r="Q289" s="12">
        <v>0</v>
      </c>
      <c r="R289" s="12"/>
      <c r="S289" s="12">
        <v>0</v>
      </c>
      <c r="T289" s="12"/>
      <c r="U289" s="12">
        <v>0</v>
      </c>
      <c r="V289" s="12"/>
      <c r="W289" s="12">
        <v>0</v>
      </c>
      <c r="X289" s="12"/>
      <c r="Y289" s="12">
        <v>0</v>
      </c>
      <c r="Z289" s="21"/>
      <c r="AA289" s="12">
        <f t="shared" si="56"/>
        <v>0</v>
      </c>
      <c r="AB289" s="12">
        <f t="shared" si="57"/>
        <v>0</v>
      </c>
      <c r="AC289" s="13"/>
    </row>
    <row r="290" spans="1:29" x14ac:dyDescent="0.35">
      <c r="A290" s="17"/>
      <c r="B290" s="15"/>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21"/>
      <c r="AA290" s="12"/>
      <c r="AB290" s="12"/>
      <c r="AC290" s="13"/>
    </row>
    <row r="291" spans="1:29" x14ac:dyDescent="0.35">
      <c r="A291" s="17"/>
      <c r="B291" s="15"/>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21"/>
      <c r="AA291" s="12"/>
      <c r="AB291" s="12"/>
      <c r="AC291" s="13"/>
    </row>
    <row r="292" spans="1:29" x14ac:dyDescent="0.35">
      <c r="A292" s="11" t="s">
        <v>16</v>
      </c>
      <c r="B292" s="15"/>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21"/>
      <c r="AA292" s="12"/>
      <c r="AB292" s="12"/>
      <c r="AC292" s="13"/>
    </row>
    <row r="293" spans="1:29" x14ac:dyDescent="0.35">
      <c r="A293" s="45" t="s">
        <v>1</v>
      </c>
      <c r="B293" s="17"/>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21"/>
      <c r="AA293" s="12"/>
      <c r="AB293" s="12"/>
      <c r="AC293" s="13"/>
    </row>
    <row r="294" spans="1:29" x14ac:dyDescent="0.35">
      <c r="A294" s="15" t="s">
        <v>2</v>
      </c>
      <c r="B294" s="17"/>
      <c r="C294" s="12">
        <f t="shared" ref="C294:C299" si="58">C184+C162+C140+C118+C96+C74+C52+C30+C8</f>
        <v>59331959.409999996</v>
      </c>
      <c r="D294" s="12"/>
      <c r="E294" s="12">
        <f t="shared" ref="E294:E299" si="59">E184+E162+E140+E118+E96+E74+E52+E30+E8</f>
        <v>109038051.02</v>
      </c>
      <c r="F294" s="12"/>
      <c r="G294" s="12">
        <f t="shared" ref="G294:G299" si="60">G184+G162+G140+G118+G96+G74+G52+G30+G8+G206+G228</f>
        <v>194504621.51000002</v>
      </c>
      <c r="H294" s="12"/>
      <c r="I294" s="12">
        <f t="shared" ref="I294:I299" si="61">I184+I162+I140+I118+I96+I74+I52+I30+I8+I206+I228+I250</f>
        <v>241186065.70000002</v>
      </c>
      <c r="J294" s="12"/>
      <c r="K294" s="12">
        <f t="shared" ref="K294:K299" si="62">K184+K162+K140+K118+K96+K74+K52+K30+K8+K206+K228+K250</f>
        <v>316468264.26000005</v>
      </c>
      <c r="L294" s="12"/>
      <c r="M294" s="12">
        <f t="shared" ref="M294:M299" si="63">M184+M162+M140+M118+M96+M74+M52+M30+M8+M206+M228+M250</f>
        <v>342560388.90999997</v>
      </c>
      <c r="N294" s="12"/>
      <c r="O294" s="12">
        <f t="shared" ref="O294:O299" si="64">O184+O162+O140+O118+O96+O74+O52+O30+O8+O206+O228+O250</f>
        <v>348381708.38999993</v>
      </c>
      <c r="P294" s="12"/>
      <c r="Q294" s="12">
        <f t="shared" ref="Q294:Q299" si="65">Q184+Q162+Q140+Q118+Q96+Q74+Q52+Q30+Q8+Q206+Q228+Q250</f>
        <v>329765782.23000002</v>
      </c>
      <c r="R294" s="12"/>
      <c r="S294" s="12">
        <f>S184+S162+S140+S118+S96+S74+S52+S30+S8+S206+S228+S250+S272</f>
        <v>131330058.99999999</v>
      </c>
      <c r="T294" s="12"/>
      <c r="U294" s="12">
        <f>U184+U162+U140+U118+U96+U74+U52+U30+U8+U206+U228+U250+U272</f>
        <v>46015987.599999994</v>
      </c>
      <c r="V294" s="12"/>
      <c r="W294" s="12">
        <f>W184+W162+W140+W118+W96+W74+W52+W30+W8+W206+W228+W250+W272</f>
        <v>77510032.799999997</v>
      </c>
      <c r="X294" s="12"/>
      <c r="Y294" s="12">
        <f>Y184+Y162+Y140+Y118+Y96+Y74+Y52+Y30+Y8+Y206+Y228+Y250+Y272</f>
        <v>89002561.640000001</v>
      </c>
      <c r="Z294" s="16"/>
      <c r="AA294" s="12">
        <f>SUM(C294:Z294)</f>
        <v>2285095482.4699998</v>
      </c>
      <c r="AB294" s="12">
        <f>AA294+AC294</f>
        <v>2529760918.7099996</v>
      </c>
      <c r="AC294" s="13">
        <v>244665436.23999998</v>
      </c>
    </row>
    <row r="295" spans="1:29" x14ac:dyDescent="0.35">
      <c r="A295" s="15" t="s">
        <v>3</v>
      </c>
      <c r="B295" s="17"/>
      <c r="C295" s="12">
        <f t="shared" si="58"/>
        <v>5074430.68</v>
      </c>
      <c r="D295" s="12"/>
      <c r="E295" s="12">
        <f t="shared" si="59"/>
        <v>9887738.1300000008</v>
      </c>
      <c r="F295" s="12"/>
      <c r="G295" s="12">
        <f t="shared" si="60"/>
        <v>19334815.980000004</v>
      </c>
      <c r="H295" s="12"/>
      <c r="I295" s="12">
        <f t="shared" si="61"/>
        <v>19116776.540000007</v>
      </c>
      <c r="J295" s="12"/>
      <c r="K295" s="12">
        <f t="shared" si="62"/>
        <v>20570772.129999999</v>
      </c>
      <c r="L295" s="12"/>
      <c r="M295" s="12">
        <f t="shared" si="63"/>
        <v>17459091.040000003</v>
      </c>
      <c r="N295" s="12"/>
      <c r="O295" s="12">
        <f t="shared" si="64"/>
        <v>31580802.569999997</v>
      </c>
      <c r="P295" s="12"/>
      <c r="Q295" s="12">
        <f t="shared" si="65"/>
        <v>11432097.449999999</v>
      </c>
      <c r="R295" s="12"/>
      <c r="S295" s="12">
        <f t="shared" ref="S295:U299" si="66">S185+S163+S141+S119+S97+S75+S53+S31+S9+S207+S229+S251+S273</f>
        <v>8606119.5800000001</v>
      </c>
      <c r="T295" s="12"/>
      <c r="U295" s="12">
        <f t="shared" si="66"/>
        <v>3202679.8</v>
      </c>
      <c r="V295" s="12"/>
      <c r="W295" s="12">
        <f t="shared" ref="W295:Y295" si="67">W185+W163+W141+W119+W97+W75+W53+W31+W9+W207+W229+W251+W273</f>
        <v>5918696.5599999996</v>
      </c>
      <c r="X295" s="12"/>
      <c r="Y295" s="12">
        <f t="shared" si="67"/>
        <v>7959790.169999999</v>
      </c>
      <c r="Z295" s="16"/>
      <c r="AA295" s="12">
        <f>SUM(C295:Z295)</f>
        <v>160143810.63000003</v>
      </c>
      <c r="AB295" s="12">
        <f t="shared" ref="AB295:AB299" si="68">AA295+AC295</f>
        <v>163270190.86000001</v>
      </c>
      <c r="AC295" s="13">
        <v>3126380.23</v>
      </c>
    </row>
    <row r="296" spans="1:29" x14ac:dyDescent="0.35">
      <c r="A296" s="15" t="s">
        <v>4</v>
      </c>
      <c r="B296" s="17"/>
      <c r="C296" s="12">
        <f t="shared" si="58"/>
        <v>2222293.3200000003</v>
      </c>
      <c r="D296" s="12"/>
      <c r="E296" s="12">
        <f t="shared" si="59"/>
        <v>3772721.8899999997</v>
      </c>
      <c r="F296" s="12"/>
      <c r="G296" s="12">
        <f t="shared" si="60"/>
        <v>4445944.3400000008</v>
      </c>
      <c r="H296" s="12"/>
      <c r="I296" s="12">
        <f t="shared" si="61"/>
        <v>4168527.84</v>
      </c>
      <c r="J296" s="12"/>
      <c r="K296" s="12">
        <f t="shared" si="62"/>
        <v>5850085.8100000005</v>
      </c>
      <c r="L296" s="12"/>
      <c r="M296" s="12">
        <f t="shared" si="63"/>
        <v>6095740.7200000007</v>
      </c>
      <c r="N296" s="12"/>
      <c r="O296" s="12">
        <f t="shared" si="64"/>
        <v>8739610.9700000007</v>
      </c>
      <c r="P296" s="12"/>
      <c r="Q296" s="12">
        <f t="shared" si="65"/>
        <v>6709845.6399999987</v>
      </c>
      <c r="R296" s="12"/>
      <c r="S296" s="12">
        <f t="shared" si="66"/>
        <v>1716864.33</v>
      </c>
      <c r="T296" s="12"/>
      <c r="U296" s="12">
        <f t="shared" si="66"/>
        <v>319209.26</v>
      </c>
      <c r="V296" s="12"/>
      <c r="W296" s="12">
        <f t="shared" ref="W296:Y296" si="69">W186+W164+W142+W120+W98+W76+W54+W32+W10+W208+W230+W252+W274</f>
        <v>1089707.47</v>
      </c>
      <c r="X296" s="12"/>
      <c r="Y296" s="12">
        <f t="shared" si="69"/>
        <v>1299631.8399999999</v>
      </c>
      <c r="Z296" s="16"/>
      <c r="AA296" s="12">
        <f>SUM(C296:Z296)</f>
        <v>46430183.429999992</v>
      </c>
      <c r="AB296" s="12">
        <f>AA296+AC296</f>
        <v>47499744.239999995</v>
      </c>
      <c r="AC296" s="13">
        <v>1069560.81</v>
      </c>
    </row>
    <row r="297" spans="1:29" x14ac:dyDescent="0.35">
      <c r="A297" s="15" t="s">
        <v>5</v>
      </c>
      <c r="B297" s="15"/>
      <c r="C297" s="12">
        <f t="shared" si="58"/>
        <v>2852137.36</v>
      </c>
      <c r="D297" s="12"/>
      <c r="E297" s="12">
        <f t="shared" si="59"/>
        <v>6115016.2400000012</v>
      </c>
      <c r="F297" s="12"/>
      <c r="G297" s="12">
        <f t="shared" si="60"/>
        <v>14888871.640000001</v>
      </c>
      <c r="H297" s="12"/>
      <c r="I297" s="12">
        <f t="shared" si="61"/>
        <v>14948248.689999999</v>
      </c>
      <c r="J297" s="12"/>
      <c r="K297" s="12">
        <f t="shared" si="62"/>
        <v>14720686.329999998</v>
      </c>
      <c r="L297" s="12"/>
      <c r="M297" s="12">
        <f t="shared" si="63"/>
        <v>11374481.710000001</v>
      </c>
      <c r="N297" s="12"/>
      <c r="O297" s="12">
        <f t="shared" si="64"/>
        <v>22841191.599999998</v>
      </c>
      <c r="P297" s="12"/>
      <c r="Q297" s="12">
        <f t="shared" si="65"/>
        <v>4722251.8099999996</v>
      </c>
      <c r="R297" s="12"/>
      <c r="S297" s="12">
        <f t="shared" si="66"/>
        <v>6889255.25</v>
      </c>
      <c r="T297" s="12"/>
      <c r="U297" s="12">
        <f t="shared" si="66"/>
        <v>2883470.54</v>
      </c>
      <c r="V297" s="12"/>
      <c r="W297" s="12">
        <f t="shared" ref="W297:Y297" si="70">W187+W165+W143+W121+W99+W77+W55+W33+W11+W209+W231+W253+W275</f>
        <v>4828989.09</v>
      </c>
      <c r="X297" s="12"/>
      <c r="Y297" s="12">
        <f t="shared" si="70"/>
        <v>6660158.3300000001</v>
      </c>
      <c r="Z297" s="13"/>
      <c r="AA297" s="12">
        <f>SUM(C297:Z297)</f>
        <v>113724758.59</v>
      </c>
      <c r="AB297" s="12">
        <f>AA297+AC297</f>
        <v>135454871.96000001</v>
      </c>
      <c r="AC297" s="13">
        <v>21730113.370000001</v>
      </c>
    </row>
    <row r="298" spans="1:29" x14ac:dyDescent="0.35">
      <c r="A298" s="15" t="s">
        <v>6</v>
      </c>
      <c r="B298" s="11"/>
      <c r="C298" s="12">
        <f t="shared" si="58"/>
        <v>969726.71</v>
      </c>
      <c r="D298" s="12"/>
      <c r="E298" s="12">
        <f t="shared" si="59"/>
        <v>2079105.5200000003</v>
      </c>
      <c r="F298" s="12"/>
      <c r="G298" s="12">
        <f t="shared" si="60"/>
        <v>5062216.379999999</v>
      </c>
      <c r="H298" s="12"/>
      <c r="I298" s="12">
        <f t="shared" si="61"/>
        <v>5082404.5799999991</v>
      </c>
      <c r="J298" s="12"/>
      <c r="K298" s="12">
        <f t="shared" si="62"/>
        <v>5005033.34</v>
      </c>
      <c r="L298" s="12"/>
      <c r="M298" s="12">
        <f t="shared" si="63"/>
        <v>3867323.7799999993</v>
      </c>
      <c r="N298" s="12"/>
      <c r="O298" s="12">
        <f t="shared" si="64"/>
        <v>7766005.1500000004</v>
      </c>
      <c r="P298" s="12"/>
      <c r="Q298" s="12">
        <f t="shared" si="65"/>
        <v>1605565.6199999996</v>
      </c>
      <c r="R298" s="12"/>
      <c r="S298" s="12">
        <f t="shared" si="66"/>
        <v>2342346.8000000003</v>
      </c>
      <c r="T298" s="12"/>
      <c r="U298" s="12">
        <f t="shared" si="66"/>
        <v>980379.99</v>
      </c>
      <c r="V298" s="12"/>
      <c r="W298" s="12">
        <f t="shared" ref="W298:Y298" si="71">W188+W166+W144+W122+W100+W78+W56+W34+W12+W210+W232+W254+W276</f>
        <v>1641856.3000000003</v>
      </c>
      <c r="X298" s="12"/>
      <c r="Y298" s="12">
        <f t="shared" si="71"/>
        <v>2264453.8199999998</v>
      </c>
      <c r="Z298" s="16"/>
      <c r="AA298" s="12">
        <f>SUM(C298:Z298)</f>
        <v>38666417.989999995</v>
      </c>
      <c r="AB298" s="12">
        <f t="shared" si="68"/>
        <v>46054656.563999996</v>
      </c>
      <c r="AC298" s="13">
        <v>7388238.574000001</v>
      </c>
    </row>
    <row r="299" spans="1:29" x14ac:dyDescent="0.35">
      <c r="A299" s="17" t="s">
        <v>7</v>
      </c>
      <c r="B299" s="15"/>
      <c r="C299" s="12">
        <f t="shared" si="58"/>
        <v>57042.74</v>
      </c>
      <c r="D299" s="12"/>
      <c r="E299" s="12">
        <f t="shared" si="59"/>
        <v>122300.32999999999</v>
      </c>
      <c r="F299" s="12"/>
      <c r="G299" s="12">
        <f t="shared" si="60"/>
        <v>297777.45</v>
      </c>
      <c r="H299" s="12"/>
      <c r="I299" s="12">
        <f t="shared" si="61"/>
        <v>298964.98000000004</v>
      </c>
      <c r="J299" s="12"/>
      <c r="K299" s="12">
        <f t="shared" si="62"/>
        <v>294413.71999999991</v>
      </c>
      <c r="L299" s="12"/>
      <c r="M299" s="12">
        <f t="shared" si="63"/>
        <v>227489.64999999997</v>
      </c>
      <c r="N299" s="12"/>
      <c r="O299" s="12">
        <f t="shared" si="64"/>
        <v>456823.8299999999</v>
      </c>
      <c r="P299" s="12"/>
      <c r="Q299" s="12">
        <f t="shared" si="65"/>
        <v>94445.02</v>
      </c>
      <c r="R299" s="12"/>
      <c r="S299" s="12">
        <f t="shared" si="66"/>
        <v>137785.13000000003</v>
      </c>
      <c r="T299" s="12"/>
      <c r="U299" s="12">
        <f t="shared" si="66"/>
        <v>57669.409999999996</v>
      </c>
      <c r="V299" s="12"/>
      <c r="W299" s="12">
        <f t="shared" ref="W299:Y299" si="72">W189+W167+W145+W123+W101+W79+W57+W35+W13+W211+W233+W255+W277</f>
        <v>96579.780000000013</v>
      </c>
      <c r="X299" s="12"/>
      <c r="Y299" s="12">
        <f t="shared" si="72"/>
        <v>133203.19</v>
      </c>
      <c r="Z299" s="13"/>
      <c r="AA299" s="12">
        <f t="shared" ref="AA299" si="73">SUM(C299:Z299)</f>
        <v>2274495.2299999995</v>
      </c>
      <c r="AB299" s="12">
        <f t="shared" si="68"/>
        <v>2709097.5419999994</v>
      </c>
      <c r="AC299" s="13">
        <v>434602.31200000003</v>
      </c>
    </row>
    <row r="300" spans="1:29" x14ac:dyDescent="0.35">
      <c r="A300" s="45" t="s">
        <v>8</v>
      </c>
      <c r="B300" s="17"/>
      <c r="C300" s="8"/>
      <c r="D300" s="8"/>
      <c r="E300" s="8"/>
      <c r="F300" s="8"/>
      <c r="G300" s="8"/>
      <c r="H300" s="8"/>
      <c r="I300" s="8"/>
      <c r="J300" s="8"/>
      <c r="K300" s="8"/>
      <c r="L300" s="8"/>
      <c r="M300" s="8"/>
      <c r="N300" s="8"/>
      <c r="O300" s="8"/>
      <c r="P300" s="8"/>
      <c r="Q300" s="8"/>
      <c r="R300" s="8"/>
      <c r="S300" s="8"/>
      <c r="T300" s="12"/>
      <c r="U300" s="8"/>
      <c r="V300" s="12"/>
      <c r="W300" s="8"/>
      <c r="X300" s="12"/>
      <c r="Y300" s="8"/>
      <c r="Z300" s="23"/>
      <c r="AA300" s="8"/>
      <c r="AB300" s="8"/>
      <c r="AC300" s="13"/>
    </row>
    <row r="301" spans="1:29" x14ac:dyDescent="0.35">
      <c r="A301" s="15" t="s">
        <v>2</v>
      </c>
      <c r="B301" s="17"/>
      <c r="C301" s="12">
        <f>C191+C169+C147+C125+C103+C81+C59+C37+C15</f>
        <v>20333311.469999999</v>
      </c>
      <c r="D301" s="8"/>
      <c r="E301" s="12">
        <f>E191+E169+E147+E125+E103+E81+E59+E37+E15</f>
        <v>25828733.829999998</v>
      </c>
      <c r="F301" s="8"/>
      <c r="G301" s="12">
        <f>G191+G169+G147+G125+G103+G81+G59+G37+G15+G213+G235</f>
        <v>36350260.299999997</v>
      </c>
      <c r="H301" s="8"/>
      <c r="I301" s="12">
        <f>I191+I169+I147+I125+I103+I81+I59+I37+I15+I213+I235+I257</f>
        <v>42497796.859999999</v>
      </c>
      <c r="J301" s="8"/>
      <c r="K301" s="12">
        <f>K191+K169+K147+K125+K103+K81+K59+K37+K15+K213+K235+K257</f>
        <v>49727345.190000005</v>
      </c>
      <c r="L301" s="8"/>
      <c r="M301" s="12">
        <f>M191+M169+M147+M125+M103+M81+M59+M37+M15+M213+M235+M257</f>
        <v>45115343.580000006</v>
      </c>
      <c r="N301" s="8"/>
      <c r="O301" s="12">
        <f>O191+O169+O147+O125+O103+O81+O59+O37+O15+O213+O235+O257</f>
        <v>39776018.280000001</v>
      </c>
      <c r="P301" s="8"/>
      <c r="Q301" s="12">
        <f>Q191+Q169+Q147+Q125+Q103+Q81+Q59+Q37+Q15+Q213+Q235+Q257</f>
        <v>35638279.330000006</v>
      </c>
      <c r="R301" s="8"/>
      <c r="S301" s="12">
        <f>S191+S169+S147+S125+S103+S81+S59+S37+S15+S213+S235+S257+S279</f>
        <v>12997237.020000001</v>
      </c>
      <c r="T301" s="12"/>
      <c r="U301" s="12">
        <f>U191+U169+U147+U125+U103+U81+U59+U37+U15+U213+U235+U257+U279</f>
        <v>0</v>
      </c>
      <c r="V301" s="12"/>
      <c r="W301" s="12">
        <f>W191+W169+W147+W125+W103+W81+W59+W37+W15+W213+W235+W257+W279</f>
        <v>0</v>
      </c>
      <c r="X301" s="12"/>
      <c r="Y301" s="12">
        <f>Y191+Y169+Y147+Y125+Y103+Y81+Y59+Y37+Y15+Y213+Y235+Y257+Y279</f>
        <v>689533.56</v>
      </c>
      <c r="Z301" s="24"/>
      <c r="AA301" s="12">
        <f>SUM(C301:Z301)</f>
        <v>308953859.42000002</v>
      </c>
      <c r="AB301" s="12">
        <f t="shared" ref="AB301:AB304" si="74">AA301+AC301</f>
        <v>533719912.18000001</v>
      </c>
      <c r="AC301" s="13">
        <v>224766052.75999999</v>
      </c>
    </row>
    <row r="302" spans="1:29" x14ac:dyDescent="0.35">
      <c r="A302" s="15" t="s">
        <v>5</v>
      </c>
      <c r="B302" s="15"/>
      <c r="C302" s="12">
        <f>C192+C170+C148+C126+C104+C82+C60+C38+C16</f>
        <v>2186339.31</v>
      </c>
      <c r="D302" s="12"/>
      <c r="E302" s="12">
        <f>E192+E170+E148+E126+E104+E82+E60+E38+E16</f>
        <v>3574817</v>
      </c>
      <c r="F302" s="12"/>
      <c r="G302" s="12">
        <f>G192+G170+G148+G126+G104+G82+G60+G38+G16+G214+G236</f>
        <v>5619352.4499999993</v>
      </c>
      <c r="H302" s="12"/>
      <c r="I302" s="12">
        <f>I192+I170+I148+I126+I104+I82+I60+I38+I16+I214+I236+I258</f>
        <v>4641091.0999999996</v>
      </c>
      <c r="J302" s="12"/>
      <c r="K302" s="12">
        <f>K192+K170+K148+K126+K104+K82+K60+K38+K16+K214+K236+K258</f>
        <v>3294289.0500000003</v>
      </c>
      <c r="L302" s="12"/>
      <c r="M302" s="12">
        <f>M192+M170+M148+M126+M104+M82+M60+M38+M16+M214+M236+M258</f>
        <v>2977523.71</v>
      </c>
      <c r="N302" s="12"/>
      <c r="O302" s="12">
        <f>O192+O170+O148+O126+O104+O82+O60+O38+O16+O214+O236+O258</f>
        <v>4918306.1899999995</v>
      </c>
      <c r="P302" s="12"/>
      <c r="Q302" s="12">
        <f>Q192+Q170+Q148+Q126+Q104+Q82+Q60+Q38+Q16+Q214+Q236+Q258</f>
        <v>628523.73</v>
      </c>
      <c r="R302" s="12"/>
      <c r="S302" s="12">
        <f>S192+S170+S148+S126+S104+S82+S60+S38+S16+S214+S236+S258+S280</f>
        <v>657566.4</v>
      </c>
      <c r="T302" s="12"/>
      <c r="U302" s="51">
        <f>U192+U170+U148+U126+U104+U82+U60+U38+U16+U214+U236+U258+U280</f>
        <v>-23162.35</v>
      </c>
      <c r="V302" s="12"/>
      <c r="W302" s="51">
        <f>W192+W170+W148+W126+W104+W82+W60+W38+W16+W214+W236+W258+W280</f>
        <v>-2511.5300000000002</v>
      </c>
      <c r="X302" s="12"/>
      <c r="Y302" s="51">
        <f>Y192+Y170+Y148+Y126+Y104+Y82+Y60+Y38+Y16+Y214+Y236+Y258+Y280</f>
        <v>-99270.180000000022</v>
      </c>
      <c r="Z302" s="23"/>
      <c r="AA302" s="12">
        <f>SUM(C302:Z302)</f>
        <v>28372864.879999999</v>
      </c>
      <c r="AB302" s="12">
        <f t="shared" si="74"/>
        <v>49695092.959999993</v>
      </c>
      <c r="AC302" s="13">
        <v>21322228.079999998</v>
      </c>
    </row>
    <row r="303" spans="1:29" x14ac:dyDescent="0.35">
      <c r="A303" s="15" t="s">
        <v>10</v>
      </c>
      <c r="B303" s="15"/>
      <c r="C303" s="12">
        <f>C193+C171+C149+C127+C105+C83+C61+C39+C17</f>
        <v>743355.37</v>
      </c>
      <c r="D303" s="12"/>
      <c r="E303" s="12">
        <f>E193+E171+E149+E127+E105+E83+E61+E39+E17</f>
        <v>1215437.78</v>
      </c>
      <c r="F303" s="12"/>
      <c r="G303" s="12">
        <f>G193+G171+G149+G127+G105+G83+G61+G39+G17+G215+G237</f>
        <v>1910579.84</v>
      </c>
      <c r="H303" s="12"/>
      <c r="I303" s="12">
        <f>I193+I171+I149+I127+I105+I83+I61+I39+I17+I215+I237+I259</f>
        <v>1577970.9999999998</v>
      </c>
      <c r="J303" s="12"/>
      <c r="K303" s="12">
        <f>K193+K171+K149+K127+K105+K83+K61+K39+K17+K215+K237+K259</f>
        <v>1120058.26</v>
      </c>
      <c r="L303" s="12"/>
      <c r="M303" s="12">
        <f>M193+M171+M149+M127+M105+M83+M61+M39+M17+M215+M237+M259</f>
        <v>1012358.06</v>
      </c>
      <c r="N303" s="12"/>
      <c r="O303" s="12">
        <f>O193+O171+O149+O127+O105+O83+O61+O39+O17+O215+O237+O259</f>
        <v>1672224.11</v>
      </c>
      <c r="P303" s="12"/>
      <c r="Q303" s="12">
        <f>Q193+Q171+Q149+Q127+Q105+Q83+Q61+Q39+Q17+Q215+Q237+Q259</f>
        <v>213698.07</v>
      </c>
      <c r="R303" s="12"/>
      <c r="S303" s="12">
        <f>S193+S171+S149+S127+S105+S83+S61+S39+S17+S215+S237+S259+S281</f>
        <v>223572.58999999997</v>
      </c>
      <c r="T303" s="12"/>
      <c r="U303" s="51">
        <f>U193+U171+U149+U127+U105+U83+U61+U39+U17+U215+U237+U259+U281</f>
        <v>-7875.2</v>
      </c>
      <c r="V303" s="12"/>
      <c r="W303" s="51">
        <f>W193+W171+W149+W127+W105+W83+W61+W39+W17+W215+W237+W259+W281</f>
        <v>-853.92</v>
      </c>
      <c r="X303" s="12"/>
      <c r="Y303" s="51">
        <f>Y193+Y171+Y149+Y127+Y105+Y83+Y61+Y39+Y17+Y215+Y237+Y259+Y281</f>
        <v>-33751.869999999995</v>
      </c>
      <c r="Z303" s="25"/>
      <c r="AA303" s="12">
        <f>SUM(C303:Z303)</f>
        <v>9646774.0900000017</v>
      </c>
      <c r="AB303" s="12">
        <f t="shared" si="74"/>
        <v>16896331.41</v>
      </c>
      <c r="AC303" s="13">
        <v>7249557.3199999994</v>
      </c>
    </row>
    <row r="304" spans="1:29" x14ac:dyDescent="0.35">
      <c r="A304" s="17" t="s">
        <v>7</v>
      </c>
      <c r="B304" s="15"/>
      <c r="C304" s="12">
        <f>C194+C172+C150+C128+C106+C84+C62+C40+C18</f>
        <v>43726.79</v>
      </c>
      <c r="D304" s="12"/>
      <c r="E304" s="12">
        <f>E194+E172+E150+E128+E106+E84+E62+E40+E18</f>
        <v>71496.350000000006</v>
      </c>
      <c r="F304" s="12"/>
      <c r="G304" s="12">
        <f>G194+G172+G150+G128+G106+G84+G62+G40+G18+G216+G238</f>
        <v>112387.06</v>
      </c>
      <c r="H304" s="12"/>
      <c r="I304" s="12">
        <f>I194+I172+I150+I128+I106+I84+I62+I40+I18+I216+I238+I260</f>
        <v>92821.83</v>
      </c>
      <c r="J304" s="12"/>
      <c r="K304" s="12">
        <f>K194+K172+K150+K128+K106+K84+K62+K40+K18+K216+K238+K260</f>
        <v>65885.78</v>
      </c>
      <c r="L304" s="12"/>
      <c r="M304" s="12">
        <f>M194+M172+M150+M128+M106+M84+M62+M40+M18+M216+M238+M260</f>
        <v>59550.490000000005</v>
      </c>
      <c r="N304" s="12"/>
      <c r="O304" s="12">
        <f>O194+O172+O150+O128+O106+O84+O62+O40+O18+O216+O238+O260</f>
        <v>98366.12000000001</v>
      </c>
      <c r="P304" s="12"/>
      <c r="Q304" s="12">
        <f>Q194+Q172+Q150+Q128+Q106+Q84+Q62+Q40+Q18+Q216+Q238+Q260</f>
        <v>12570.45</v>
      </c>
      <c r="R304" s="12"/>
      <c r="S304" s="12">
        <f>S194+S172+S150+S128+S106+S84+S62+S40+S18+S216+S238+S260+S282</f>
        <v>13151.36</v>
      </c>
      <c r="T304" s="12"/>
      <c r="U304" s="51">
        <f>U194+U172+U150+U128+U106+U84+U62+U40+U18+U216+U238+U260+U282</f>
        <v>-463.25</v>
      </c>
      <c r="V304" s="12"/>
      <c r="W304" s="51">
        <f>W194+W172+W150+W128+W106+W84+W62+W40+W18+W216+W238+W260+W282</f>
        <v>-50.23</v>
      </c>
      <c r="X304" s="12"/>
      <c r="Y304" s="51">
        <f>Y194+Y172+Y150+Y128+Y106+Y84+Y62+Y40+Y18+Y216+Y238+Y260+Y282</f>
        <v>-1985.39</v>
      </c>
      <c r="Z304" s="25"/>
      <c r="AA304" s="12">
        <f>SUM(C304:Z304)</f>
        <v>567457.36</v>
      </c>
      <c r="AB304" s="12">
        <f t="shared" si="74"/>
        <v>993902.17999999993</v>
      </c>
      <c r="AC304" s="13">
        <v>426444.81999999995</v>
      </c>
    </row>
    <row r="305" spans="1:29" x14ac:dyDescent="0.35">
      <c r="A305" s="45" t="s">
        <v>9</v>
      </c>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25"/>
      <c r="AA305" s="12"/>
      <c r="AB305" s="12"/>
      <c r="AC305" s="13"/>
    </row>
    <row r="306" spans="1:29" x14ac:dyDescent="0.35">
      <c r="A306" s="15" t="s">
        <v>2</v>
      </c>
      <c r="B306" s="11"/>
      <c r="C306" s="12">
        <f t="shared" ref="C306:C311" si="75">C196+C174+C152+C130+C108+C86+C64+C42+C20</f>
        <v>38998647.939999998</v>
      </c>
      <c r="D306" s="12"/>
      <c r="E306" s="12">
        <f t="shared" ref="E306:E311" si="76">E196+E174+E152+E130+E108+E86+E64+E42+E20</f>
        <v>83209317.189999998</v>
      </c>
      <c r="F306" s="12"/>
      <c r="G306" s="12">
        <f t="shared" ref="G306:G311" si="77">G196+G174+G152+G130+G108+G86+G64+G42+G20+G218+G240</f>
        <v>158154361.21000001</v>
      </c>
      <c r="H306" s="12"/>
      <c r="I306" s="12">
        <f t="shared" ref="I306:I311" si="78">I196+I174+I152+I130+I108+I86+I64+I42+I20+I218+I240+I262</f>
        <v>198688268.84000003</v>
      </c>
      <c r="J306" s="12"/>
      <c r="K306" s="12">
        <f t="shared" ref="K306:K311" si="79">K196+K174+K152+K130+K108+K86+K64+K42+K20+K218+K240+K262</f>
        <v>266740919.07000002</v>
      </c>
      <c r="L306" s="12"/>
      <c r="M306" s="12">
        <f>M196+M174+M152+M130+M108+M86+M64+M42+M20+M218+M240+M262</f>
        <v>297445045.32999998</v>
      </c>
      <c r="N306" s="12"/>
      <c r="O306" s="12">
        <f>O196+O174+O152+O130+O108+O86+O64+O42+O20+O218+O240+O262</f>
        <v>308605690.11000001</v>
      </c>
      <c r="P306" s="12"/>
      <c r="Q306" s="12">
        <f>Q196+Q174+Q152+Q130+Q108+Q86+Q64+Q42+Q20+Q218+Q240+Q262</f>
        <v>294127502.90000004</v>
      </c>
      <c r="R306" s="12"/>
      <c r="S306" s="12">
        <f t="shared" ref="S306:U311" si="80">S196+S174+S152+S130+S108+S86+S64+S42+S20+S218+S240+S262+S284</f>
        <v>118332821.97999999</v>
      </c>
      <c r="T306" s="12"/>
      <c r="U306" s="12">
        <f t="shared" si="80"/>
        <v>46015987.599999994</v>
      </c>
      <c r="V306" s="12"/>
      <c r="W306" s="12">
        <f t="shared" ref="W306:Y306" si="81">W196+W174+W152+W130+W108+W86+W64+W42+W20+W218+W240+W262+W284</f>
        <v>77510032.799999997</v>
      </c>
      <c r="X306" s="12"/>
      <c r="Y306" s="12">
        <f t="shared" si="81"/>
        <v>88313028.079999998</v>
      </c>
      <c r="Z306" s="25"/>
      <c r="AA306" s="12">
        <f t="shared" ref="AA306:AA311" si="82">SUM(C306:Z306)</f>
        <v>1976141623.05</v>
      </c>
      <c r="AB306" s="12">
        <f t="shared" ref="AB306:AB311" si="83">AA306+AC306</f>
        <v>1996041006.74</v>
      </c>
      <c r="AC306" s="13">
        <v>19899383.690000001</v>
      </c>
    </row>
    <row r="307" spans="1:29" x14ac:dyDescent="0.35">
      <c r="A307" s="15" t="s">
        <v>3</v>
      </c>
      <c r="B307" s="11"/>
      <c r="C307" s="12">
        <f t="shared" si="75"/>
        <v>2888091.37</v>
      </c>
      <c r="D307" s="12"/>
      <c r="E307" s="12">
        <f t="shared" si="76"/>
        <v>6312921.1200000001</v>
      </c>
      <c r="F307" s="12"/>
      <c r="G307" s="12">
        <f t="shared" si="77"/>
        <v>13715463.530000001</v>
      </c>
      <c r="H307" s="12"/>
      <c r="I307" s="12">
        <f t="shared" si="78"/>
        <v>14475685.440000001</v>
      </c>
      <c r="J307" s="12"/>
      <c r="K307" s="12">
        <f t="shared" si="79"/>
        <v>17276483.079999998</v>
      </c>
      <c r="L307" s="12"/>
      <c r="M307" s="12">
        <f t="shared" ref="M307:O307" si="84">M197+M175+M153+M131+M109+M87+M65+M43+M21+M219+M241+M263</f>
        <v>14481567.329999998</v>
      </c>
      <c r="N307" s="12"/>
      <c r="O307" s="12">
        <f t="shared" si="84"/>
        <v>26662496.380000003</v>
      </c>
      <c r="P307" s="12"/>
      <c r="Q307" s="12">
        <f t="shared" ref="Q307" si="85">Q197+Q175+Q153+Q131+Q109+Q87+Q65+Q43+Q21+Q219+Q241+Q263</f>
        <v>10803573.719999999</v>
      </c>
      <c r="R307" s="12"/>
      <c r="S307" s="12">
        <f t="shared" si="80"/>
        <v>7948553.1799999997</v>
      </c>
      <c r="T307" s="12"/>
      <c r="U307" s="12">
        <f t="shared" si="80"/>
        <v>3225842.15</v>
      </c>
      <c r="V307" s="12"/>
      <c r="W307" s="12">
        <f t="shared" ref="W307:Y307" si="86">W197+W175+W153+W131+W109+W87+W65+W43+W21+W219+W241+W263+W285</f>
        <v>5921208.0899999999</v>
      </c>
      <c r="X307" s="12"/>
      <c r="Y307" s="12">
        <f t="shared" si="86"/>
        <v>8059060.3499999996</v>
      </c>
      <c r="Z307" s="25"/>
      <c r="AA307" s="12">
        <f t="shared" si="82"/>
        <v>131770945.74000001</v>
      </c>
      <c r="AB307" s="12">
        <f t="shared" si="83"/>
        <v>133209639.50000001</v>
      </c>
      <c r="AC307" s="13">
        <v>1438693.7599999998</v>
      </c>
    </row>
    <row r="308" spans="1:29" x14ac:dyDescent="0.35">
      <c r="A308" s="15" t="s">
        <v>4</v>
      </c>
      <c r="B308" s="11"/>
      <c r="C308" s="12">
        <f t="shared" si="75"/>
        <v>2222293.3200000003</v>
      </c>
      <c r="D308" s="12"/>
      <c r="E308" s="12">
        <f t="shared" si="76"/>
        <v>3772721.8899999997</v>
      </c>
      <c r="F308" s="12"/>
      <c r="G308" s="12">
        <f t="shared" si="77"/>
        <v>4445944.3400000008</v>
      </c>
      <c r="H308" s="12"/>
      <c r="I308" s="12">
        <f t="shared" si="78"/>
        <v>4168527.84</v>
      </c>
      <c r="J308" s="12"/>
      <c r="K308" s="12">
        <f t="shared" si="79"/>
        <v>5850085.8100000005</v>
      </c>
      <c r="L308" s="12"/>
      <c r="M308" s="12">
        <f t="shared" ref="M308:O308" si="87">M198+M176+M154+M132+M110+M88+M66+M44+M22+M220+M242+M264</f>
        <v>6095740.7200000007</v>
      </c>
      <c r="N308" s="12"/>
      <c r="O308" s="12">
        <f t="shared" si="87"/>
        <v>8739610.9700000007</v>
      </c>
      <c r="P308" s="12"/>
      <c r="Q308" s="12">
        <f t="shared" ref="Q308" si="88">Q198+Q176+Q154+Q132+Q110+Q88+Q66+Q44+Q22+Q220+Q242+Q264</f>
        <v>6709845.6399999987</v>
      </c>
      <c r="R308" s="12"/>
      <c r="S308" s="12">
        <f t="shared" si="80"/>
        <v>1716864.33</v>
      </c>
      <c r="T308" s="12"/>
      <c r="U308" s="12">
        <f t="shared" si="80"/>
        <v>319209.26</v>
      </c>
      <c r="V308" s="12"/>
      <c r="W308" s="12">
        <f t="shared" ref="W308:Y308" si="89">W198+W176+W154+W132+W110+W88+W66+W44+W22+W220+W242+W264+W286</f>
        <v>1089707.47</v>
      </c>
      <c r="X308" s="12"/>
      <c r="Y308" s="12">
        <f t="shared" si="89"/>
        <v>1299631.8399999999</v>
      </c>
      <c r="Z308" s="25"/>
      <c r="AA308" s="12">
        <f t="shared" si="82"/>
        <v>46430183.429999992</v>
      </c>
      <c r="AB308" s="12">
        <f t="shared" si="83"/>
        <v>47499744.239999995</v>
      </c>
      <c r="AC308" s="13">
        <v>1069560.81</v>
      </c>
    </row>
    <row r="309" spans="1:29" x14ac:dyDescent="0.35">
      <c r="A309" s="15" t="s">
        <v>5</v>
      </c>
      <c r="B309" s="22"/>
      <c r="C309" s="51">
        <f t="shared" si="75"/>
        <v>665798.04999999993</v>
      </c>
      <c r="D309" s="20"/>
      <c r="E309" s="51">
        <f t="shared" si="76"/>
        <v>2540199.2399999998</v>
      </c>
      <c r="F309" s="20"/>
      <c r="G309" s="12">
        <f t="shared" si="77"/>
        <v>9269519.1899999976</v>
      </c>
      <c r="H309" s="20"/>
      <c r="I309" s="12">
        <f t="shared" si="78"/>
        <v>10307157.590000002</v>
      </c>
      <c r="J309" s="20"/>
      <c r="K309" s="12">
        <f t="shared" si="79"/>
        <v>11426397.280000001</v>
      </c>
      <c r="L309" s="20"/>
      <c r="M309" s="12">
        <f t="shared" ref="M309:O309" si="90">M199+M177+M155+M133+M111+M89+M67+M45+M23+M221+M243+M265</f>
        <v>8396958</v>
      </c>
      <c r="N309" s="20"/>
      <c r="O309" s="12">
        <f t="shared" si="90"/>
        <v>17922885.41</v>
      </c>
      <c r="P309" s="20"/>
      <c r="Q309" s="12">
        <f t="shared" ref="Q309" si="91">Q199+Q177+Q155+Q133+Q111+Q89+Q67+Q45+Q23+Q221+Q243+Q265</f>
        <v>4093728.08</v>
      </c>
      <c r="R309" s="20"/>
      <c r="S309" s="12">
        <f t="shared" si="80"/>
        <v>6231688.8500000006</v>
      </c>
      <c r="T309" s="12"/>
      <c r="U309" s="12">
        <f t="shared" si="80"/>
        <v>2906632.8899999997</v>
      </c>
      <c r="V309" s="12"/>
      <c r="W309" s="12">
        <f t="shared" ref="W309:Y309" si="92">W199+W177+W155+W133+W111+W89+W67+W45+W23+W221+W243+W265+W287</f>
        <v>4831500.6199999992</v>
      </c>
      <c r="X309" s="12"/>
      <c r="Y309" s="12">
        <f t="shared" si="92"/>
        <v>6759428.5099999988</v>
      </c>
      <c r="Z309" s="23"/>
      <c r="AA309" s="12">
        <f t="shared" si="82"/>
        <v>85351893.710000008</v>
      </c>
      <c r="AB309" s="12">
        <f t="shared" si="83"/>
        <v>85759779.300000012</v>
      </c>
      <c r="AC309" s="13">
        <v>407885.59000000008</v>
      </c>
    </row>
    <row r="310" spans="1:29" x14ac:dyDescent="0.35">
      <c r="A310" s="15" t="s">
        <v>10</v>
      </c>
      <c r="B310" s="15"/>
      <c r="C310" s="51">
        <f t="shared" si="75"/>
        <v>226371.34</v>
      </c>
      <c r="D310" s="12"/>
      <c r="E310" s="51">
        <f t="shared" si="76"/>
        <v>863667.74</v>
      </c>
      <c r="F310" s="12"/>
      <c r="G310" s="12">
        <f t="shared" si="77"/>
        <v>3151636.54</v>
      </c>
      <c r="H310" s="12"/>
      <c r="I310" s="12">
        <f t="shared" si="78"/>
        <v>3504433.58</v>
      </c>
      <c r="J310" s="12"/>
      <c r="K310" s="12">
        <f t="shared" si="79"/>
        <v>3884975.08</v>
      </c>
      <c r="L310" s="12"/>
      <c r="M310" s="12">
        <f t="shared" ref="M310:O310" si="93">M200+M178+M156+M134+M112+M90+M68+M46+M24+M222+M244+M266</f>
        <v>2854965.7199999997</v>
      </c>
      <c r="N310" s="12"/>
      <c r="O310" s="12">
        <f t="shared" si="93"/>
        <v>6093781.040000001</v>
      </c>
      <c r="P310" s="12"/>
      <c r="Q310" s="12">
        <f t="shared" ref="Q310" si="94">Q200+Q178+Q156+Q134+Q112+Q90+Q68+Q46+Q24+Q222+Q244+Q266</f>
        <v>1391867.5499999998</v>
      </c>
      <c r="R310" s="12"/>
      <c r="S310" s="12">
        <f t="shared" si="80"/>
        <v>2118774.21</v>
      </c>
      <c r="T310" s="12"/>
      <c r="U310" s="12">
        <f t="shared" si="80"/>
        <v>988255.19000000006</v>
      </c>
      <c r="V310" s="12"/>
      <c r="W310" s="12">
        <f t="shared" ref="W310:Y310" si="95">W200+W178+W156+W134+W112+W90+W68+W46+W24+W222+W244+W266+W288</f>
        <v>1642710.2200000002</v>
      </c>
      <c r="X310" s="12"/>
      <c r="Y310" s="12">
        <f t="shared" si="95"/>
        <v>2298205.69</v>
      </c>
      <c r="Z310" s="26"/>
      <c r="AA310" s="12">
        <f t="shared" si="82"/>
        <v>29019643.900000002</v>
      </c>
      <c r="AB310" s="12">
        <f t="shared" si="83"/>
        <v>29158324.990000002</v>
      </c>
      <c r="AC310" s="13">
        <v>138681.09</v>
      </c>
    </row>
    <row r="311" spans="1:29" x14ac:dyDescent="0.35">
      <c r="A311" s="17" t="s">
        <v>7</v>
      </c>
      <c r="B311" s="15"/>
      <c r="C311" s="51">
        <f t="shared" si="75"/>
        <v>13315.949999999999</v>
      </c>
      <c r="D311" s="12"/>
      <c r="E311" s="51">
        <f t="shared" si="76"/>
        <v>50803.979999999996</v>
      </c>
      <c r="F311" s="12"/>
      <c r="G311" s="12">
        <f t="shared" si="77"/>
        <v>185390.38999999998</v>
      </c>
      <c r="H311" s="12"/>
      <c r="I311" s="12">
        <f t="shared" si="78"/>
        <v>206143.15000000002</v>
      </c>
      <c r="J311" s="12"/>
      <c r="K311" s="12">
        <f t="shared" si="79"/>
        <v>228527.94</v>
      </c>
      <c r="L311" s="12"/>
      <c r="M311" s="12">
        <f t="shared" ref="M311:O311" si="96">M201+M179+M157+M135+M113+M91+M69+M47+M25+M223+M245+M267</f>
        <v>167939.15999999997</v>
      </c>
      <c r="N311" s="12"/>
      <c r="O311" s="12">
        <f t="shared" si="96"/>
        <v>358457.70999999996</v>
      </c>
      <c r="P311" s="12"/>
      <c r="Q311" s="12">
        <f t="shared" ref="Q311" si="97">Q201+Q179+Q157+Q135+Q113+Q91+Q69+Q47+Q25+Q223+Q245+Q267</f>
        <v>81874.570000000007</v>
      </c>
      <c r="R311" s="12"/>
      <c r="S311" s="12">
        <f t="shared" si="80"/>
        <v>124633.77000000002</v>
      </c>
      <c r="T311" s="12"/>
      <c r="U311" s="12">
        <f t="shared" si="80"/>
        <v>58132.659999999996</v>
      </c>
      <c r="V311" s="12"/>
      <c r="W311" s="12">
        <f t="shared" ref="W311:Y311" si="98">W201+W179+W157+W135+W113+W91+W69+W47+W25+W223+W245+W267+W289</f>
        <v>96630.010000000009</v>
      </c>
      <c r="X311" s="12"/>
      <c r="Y311" s="12">
        <f t="shared" si="98"/>
        <v>135188.58000000002</v>
      </c>
      <c r="Z311" s="23"/>
      <c r="AA311" s="12">
        <f t="shared" si="82"/>
        <v>1707037.8699999999</v>
      </c>
      <c r="AB311" s="12">
        <f t="shared" si="83"/>
        <v>1715195.5799999998</v>
      </c>
      <c r="AC311" s="13">
        <v>8157.71</v>
      </c>
    </row>
    <row r="312" spans="1:29" ht="15.75" customHeight="1" x14ac:dyDescent="0.35">
      <c r="A312" s="17"/>
      <c r="B312" s="15"/>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26"/>
      <c r="AA312" s="12"/>
      <c r="AB312" s="12"/>
      <c r="AC312" s="13"/>
    </row>
    <row r="313" spans="1:29" ht="15.75" customHeight="1" x14ac:dyDescent="0.35">
      <c r="A313" s="15"/>
      <c r="B313" s="22"/>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3"/>
      <c r="AA313" s="20"/>
      <c r="AB313" s="20"/>
      <c r="AC313" s="13"/>
    </row>
    <row r="314" spans="1:29" ht="15.75" customHeight="1" x14ac:dyDescent="0.35">
      <c r="A314" s="22"/>
      <c r="B314" s="15"/>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24"/>
      <c r="AA314" s="12"/>
      <c r="AB314" s="12"/>
      <c r="AC314" s="13"/>
    </row>
    <row r="315" spans="1:29" ht="15.75" customHeight="1" x14ac:dyDescent="0.35">
      <c r="A315" s="15"/>
      <c r="B315" s="15"/>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23"/>
      <c r="AA315" s="12"/>
      <c r="AB315" s="12"/>
      <c r="AC315" s="13"/>
    </row>
    <row r="316" spans="1:29" ht="15.75" customHeight="1" x14ac:dyDescent="0.35">
      <c r="A316" s="15"/>
      <c r="B316" s="15"/>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25"/>
      <c r="AA316" s="12"/>
      <c r="AB316" s="12"/>
      <c r="AC316" s="13"/>
    </row>
    <row r="317" spans="1:29" ht="15.75" customHeight="1" x14ac:dyDescent="0.35">
      <c r="A317" s="15"/>
      <c r="B317" s="22"/>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4"/>
      <c r="AA317" s="20"/>
      <c r="AB317" s="20"/>
      <c r="AC317" s="13"/>
    </row>
    <row r="318" spans="1:29" ht="15.75" customHeight="1" x14ac:dyDescent="0.35">
      <c r="A318" s="22"/>
      <c r="B318" s="15"/>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27"/>
      <c r="AA318" s="12"/>
      <c r="AB318" s="12"/>
      <c r="AC318" s="13"/>
    </row>
    <row r="319" spans="1:29" ht="15.75" customHeight="1" x14ac:dyDescent="0.35">
      <c r="A319" s="15"/>
      <c r="B319" s="15"/>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28"/>
      <c r="AA319" s="12"/>
      <c r="AB319" s="12"/>
      <c r="AC319" s="13"/>
    </row>
    <row r="320" spans="1:29" ht="15.75" customHeight="1" x14ac:dyDescent="0.35">
      <c r="A320" s="15"/>
      <c r="B320" s="15"/>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29"/>
      <c r="AA320" s="12"/>
      <c r="AB320" s="12"/>
      <c r="AC320" s="13"/>
    </row>
    <row r="321" spans="1:29" ht="15.75" customHeight="1" x14ac:dyDescent="0.35">
      <c r="A321" s="15"/>
      <c r="B321" s="22"/>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5"/>
      <c r="AA321" s="20"/>
      <c r="AB321" s="20"/>
      <c r="AC321" s="13"/>
    </row>
    <row r="322" spans="1:29" ht="15.75" customHeight="1" x14ac:dyDescent="0.35">
      <c r="A322" s="22"/>
      <c r="B322" s="15"/>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25"/>
      <c r="AA322" s="12"/>
      <c r="AB322" s="12"/>
      <c r="AC322" s="13"/>
    </row>
    <row r="323" spans="1:29" ht="15.75" customHeight="1" x14ac:dyDescent="0.35">
      <c r="A323" s="15"/>
      <c r="B323" s="15"/>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23"/>
      <c r="AA323" s="12"/>
      <c r="AB323" s="12"/>
      <c r="AC323" s="13"/>
    </row>
    <row r="324" spans="1:29" ht="15.75" customHeight="1" x14ac:dyDescent="0.35">
      <c r="A324" s="15"/>
      <c r="B324" s="15"/>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26"/>
      <c r="AA324" s="12"/>
      <c r="AB324" s="12"/>
      <c r="AC324" s="13"/>
    </row>
    <row r="325" spans="1:29" ht="15.75" customHeight="1" x14ac:dyDescent="0.35">
      <c r="A325" s="15"/>
      <c r="B325" s="22"/>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3"/>
      <c r="AA325" s="20"/>
      <c r="AB325" s="20"/>
      <c r="AC325" s="13"/>
    </row>
    <row r="326" spans="1:29" ht="15.75" customHeight="1" x14ac:dyDescent="0.35">
      <c r="A326" s="22"/>
      <c r="B326" s="15"/>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26"/>
      <c r="AA326" s="12"/>
      <c r="AB326" s="12"/>
      <c r="AC326" s="13"/>
    </row>
    <row r="327" spans="1:29" ht="15.75" customHeight="1" x14ac:dyDescent="0.35">
      <c r="A327" s="15"/>
      <c r="B327" s="15"/>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23"/>
      <c r="AA327" s="12"/>
      <c r="AB327" s="12"/>
      <c r="AC327" s="13"/>
    </row>
    <row r="328" spans="1:29" ht="15.75" customHeight="1" x14ac:dyDescent="0.35">
      <c r="A328" s="15"/>
      <c r="B328" s="15"/>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24"/>
      <c r="AA328" s="12"/>
      <c r="AB328" s="12"/>
      <c r="AC328" s="13"/>
    </row>
    <row r="329" spans="1:29" ht="15.75" customHeight="1" x14ac:dyDescent="0.35">
      <c r="A329" s="15"/>
      <c r="B329" s="22"/>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3"/>
      <c r="AA329" s="20"/>
      <c r="AB329" s="20"/>
      <c r="AC329" s="13"/>
    </row>
    <row r="330" spans="1:29" ht="15.75" customHeight="1" x14ac:dyDescent="0.35">
      <c r="A330" s="22"/>
      <c r="B330" s="15"/>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23"/>
      <c r="AA330" s="12"/>
      <c r="AB330" s="12"/>
      <c r="AC330" s="13"/>
    </row>
    <row r="331" spans="1:29" ht="15.75" customHeight="1" x14ac:dyDescent="0.35">
      <c r="A331" s="15"/>
      <c r="B331" s="15"/>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23"/>
      <c r="AA331" s="12"/>
      <c r="AB331" s="12"/>
      <c r="AC331" s="13"/>
    </row>
    <row r="332" spans="1:29" ht="15.75" customHeight="1" x14ac:dyDescent="0.35">
      <c r="A332" s="15"/>
      <c r="B332" s="15"/>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23"/>
      <c r="AA332" s="12"/>
      <c r="AB332" s="12"/>
      <c r="AC332" s="13"/>
    </row>
    <row r="333" spans="1:29" ht="15.75" customHeight="1" x14ac:dyDescent="0.35">
      <c r="A333" s="15"/>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3"/>
      <c r="AA333" s="20"/>
      <c r="AB333" s="20"/>
      <c r="AC333" s="13"/>
    </row>
    <row r="334" spans="1:29" ht="15.75" customHeight="1" x14ac:dyDescent="0.35">
      <c r="B334" s="11"/>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24"/>
      <c r="AA334" s="12"/>
      <c r="AB334" s="12"/>
      <c r="AC334" s="13"/>
    </row>
    <row r="335" spans="1:29" ht="15.75" customHeight="1" x14ac:dyDescent="0.35">
      <c r="A335" s="11"/>
      <c r="B335" s="22"/>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3"/>
      <c r="AA335" s="20"/>
      <c r="AB335" s="20"/>
      <c r="AC335" s="13"/>
    </row>
    <row r="336" spans="1:29" ht="15.75" customHeight="1" x14ac:dyDescent="0.35">
      <c r="A336" s="22"/>
      <c r="B336" s="15"/>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25"/>
      <c r="AA336" s="12"/>
      <c r="AB336" s="12"/>
      <c r="AC336" s="13"/>
    </row>
    <row r="337" spans="1:29" ht="15.75" customHeight="1" x14ac:dyDescent="0.35">
      <c r="A337" s="15"/>
      <c r="B337" s="15"/>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30"/>
      <c r="AA337" s="12"/>
      <c r="AB337" s="12"/>
      <c r="AC337" s="13"/>
    </row>
    <row r="338" spans="1:29" ht="15.75" customHeight="1" x14ac:dyDescent="0.35">
      <c r="A338" s="15"/>
      <c r="B338" s="15"/>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30"/>
      <c r="AA338" s="12"/>
      <c r="AB338" s="12"/>
      <c r="AC338" s="13"/>
    </row>
    <row r="339" spans="1:29" ht="15.75" customHeight="1" x14ac:dyDescent="0.35">
      <c r="A339" s="15"/>
      <c r="B339" s="22"/>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30"/>
      <c r="AA339" s="20"/>
      <c r="AB339" s="20"/>
      <c r="AC339" s="13"/>
    </row>
    <row r="340" spans="1:29" ht="15.75" customHeight="1" x14ac:dyDescent="0.35">
      <c r="A340" s="22"/>
      <c r="B340" s="15"/>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30"/>
      <c r="AA340" s="12"/>
      <c r="AB340" s="12"/>
      <c r="AC340" s="13"/>
    </row>
    <row r="341" spans="1:29" ht="15.75" customHeight="1" x14ac:dyDescent="0.35">
      <c r="A341" s="15"/>
      <c r="B341" s="15"/>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30"/>
      <c r="AA341" s="12"/>
      <c r="AB341" s="12"/>
      <c r="AC341" s="13"/>
    </row>
    <row r="342" spans="1:29" ht="15.75" customHeight="1" x14ac:dyDescent="0.35">
      <c r="A342" s="15"/>
      <c r="B342" s="15"/>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30"/>
      <c r="AA342" s="12"/>
      <c r="AB342" s="12"/>
      <c r="AC342" s="13"/>
    </row>
    <row r="343" spans="1:29" ht="15.75" customHeight="1" x14ac:dyDescent="0.35">
      <c r="A343" s="15"/>
      <c r="B343" s="22"/>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30"/>
      <c r="AA343" s="20"/>
      <c r="AB343" s="20"/>
      <c r="AC343" s="13"/>
    </row>
    <row r="344" spans="1:29" ht="15.75" customHeight="1" x14ac:dyDescent="0.35">
      <c r="A344" s="22"/>
      <c r="B344" s="15"/>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30"/>
      <c r="AA344" s="12"/>
      <c r="AB344" s="12"/>
      <c r="AC344" s="13"/>
    </row>
    <row r="345" spans="1:29" ht="15.75" customHeight="1" x14ac:dyDescent="0.35">
      <c r="A345" s="15"/>
      <c r="B345" s="15"/>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30"/>
      <c r="AA345" s="12"/>
      <c r="AB345" s="12"/>
      <c r="AC345" s="13"/>
    </row>
    <row r="346" spans="1:29" ht="15.75" customHeight="1" x14ac:dyDescent="0.35">
      <c r="A346" s="15"/>
      <c r="B346" s="15"/>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30"/>
      <c r="AA346" s="12"/>
      <c r="AB346" s="12"/>
      <c r="AC346" s="13"/>
    </row>
    <row r="347" spans="1:29" ht="15.75" customHeight="1" x14ac:dyDescent="0.35">
      <c r="A347" s="15"/>
      <c r="B347" s="22"/>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30"/>
      <c r="AA347" s="20"/>
      <c r="AB347" s="20"/>
      <c r="AC347" s="13"/>
    </row>
    <row r="348" spans="1:29" ht="15.75" customHeight="1" x14ac:dyDescent="0.35">
      <c r="A348" s="22"/>
      <c r="B348" s="15"/>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30"/>
      <c r="AA348" s="12"/>
      <c r="AB348" s="12"/>
      <c r="AC348" s="13"/>
    </row>
    <row r="349" spans="1:29" ht="15.75" customHeight="1" x14ac:dyDescent="0.35">
      <c r="A349" s="15"/>
      <c r="B349" s="15"/>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30"/>
      <c r="AA349" s="12"/>
      <c r="AB349" s="12"/>
      <c r="AC349" s="13"/>
    </row>
    <row r="350" spans="1:29" ht="15.75" customHeight="1" x14ac:dyDescent="0.35">
      <c r="A350" s="15"/>
      <c r="B350" s="15"/>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30"/>
      <c r="AA350" s="12"/>
      <c r="AB350" s="12"/>
      <c r="AC350" s="13"/>
    </row>
    <row r="351" spans="1:29" ht="15.75" customHeight="1" x14ac:dyDescent="0.35">
      <c r="A351" s="15"/>
      <c r="B351" s="22"/>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30"/>
      <c r="AA351" s="20"/>
      <c r="AB351" s="20"/>
      <c r="AC351" s="13"/>
    </row>
    <row r="352" spans="1:29" ht="15.75" customHeight="1" x14ac:dyDescent="0.35">
      <c r="A352" s="22"/>
      <c r="B352" s="15"/>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30"/>
      <c r="AA352" s="12"/>
      <c r="AB352" s="12"/>
      <c r="AC352" s="13"/>
    </row>
    <row r="353" spans="1:29" ht="15.75" customHeight="1" x14ac:dyDescent="0.35">
      <c r="A353" s="15"/>
      <c r="B353" s="15"/>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30"/>
      <c r="AA353" s="12"/>
      <c r="AB353" s="12"/>
      <c r="AC353" s="13"/>
    </row>
    <row r="354" spans="1:29" ht="15.75" customHeight="1" x14ac:dyDescent="0.35">
      <c r="A354" s="15"/>
      <c r="B354" s="15"/>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30"/>
      <c r="AA354" s="12"/>
      <c r="AB354" s="12"/>
      <c r="AC354" s="13"/>
    </row>
    <row r="355" spans="1:29" ht="15.75" customHeight="1" x14ac:dyDescent="0.35">
      <c r="A355" s="15"/>
      <c r="B355" s="22"/>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30"/>
      <c r="AA355" s="12"/>
      <c r="AB355" s="12"/>
      <c r="AC355" s="13"/>
    </row>
    <row r="356" spans="1:29" ht="15.75" customHeight="1" x14ac:dyDescent="0.35">
      <c r="A356" s="22"/>
      <c r="B356" s="15"/>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30"/>
      <c r="AA356" s="12"/>
      <c r="AB356" s="12"/>
      <c r="AC356" s="13"/>
    </row>
    <row r="357" spans="1:29" ht="15.75" customHeight="1" x14ac:dyDescent="0.35">
      <c r="A357" s="15"/>
      <c r="B357" s="15"/>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30"/>
      <c r="AA357" s="12"/>
      <c r="AB357" s="12"/>
      <c r="AC357" s="13"/>
    </row>
    <row r="358" spans="1:29" ht="15.75" customHeight="1" x14ac:dyDescent="0.35">
      <c r="A358" s="15"/>
      <c r="B358" s="15"/>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30"/>
      <c r="AA358" s="12"/>
      <c r="AB358" s="12"/>
      <c r="AC358" s="13"/>
    </row>
    <row r="359" spans="1:29" ht="15.75" customHeight="1" x14ac:dyDescent="0.35">
      <c r="A359" s="15"/>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30"/>
      <c r="AA359" s="12"/>
      <c r="AB359" s="12"/>
      <c r="AC359" s="13"/>
    </row>
    <row r="360" spans="1:29" ht="15.75" customHeight="1" x14ac:dyDescent="0.35">
      <c r="B360" s="11"/>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30"/>
      <c r="AA360" s="20"/>
      <c r="AB360" s="20"/>
      <c r="AC360" s="13"/>
    </row>
    <row r="361" spans="1:29" ht="15.75" customHeight="1" x14ac:dyDescent="0.35">
      <c r="A361" s="11"/>
      <c r="B361" s="22"/>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30"/>
      <c r="AA361" s="20"/>
      <c r="AB361" s="20"/>
      <c r="AC361" s="13"/>
    </row>
    <row r="362" spans="1:29" ht="15.75" customHeight="1" x14ac:dyDescent="0.35">
      <c r="A362" s="22"/>
      <c r="B362" s="15"/>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30"/>
      <c r="AA362" s="12"/>
      <c r="AB362" s="12"/>
      <c r="AC362" s="13"/>
    </row>
    <row r="363" spans="1:29" ht="15.75" customHeight="1" x14ac:dyDescent="0.35">
      <c r="A363" s="15"/>
      <c r="B363" s="15"/>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30"/>
      <c r="AA363" s="12"/>
      <c r="AB363" s="12"/>
      <c r="AC363" s="13"/>
    </row>
    <row r="364" spans="1:29" ht="15.75" customHeight="1" x14ac:dyDescent="0.35">
      <c r="A364" s="15"/>
      <c r="B364" s="15"/>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30"/>
      <c r="AA364" s="12"/>
      <c r="AB364" s="12"/>
      <c r="AC364" s="13"/>
    </row>
    <row r="365" spans="1:29" ht="15.75" customHeight="1" x14ac:dyDescent="0.35">
      <c r="A365" s="15"/>
      <c r="B365" s="22"/>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30"/>
      <c r="AA365" s="20"/>
      <c r="AB365" s="20"/>
      <c r="AC365" s="13"/>
    </row>
    <row r="366" spans="1:29" ht="15.75" customHeight="1" x14ac:dyDescent="0.35">
      <c r="A366" s="22"/>
      <c r="B366" s="15"/>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30"/>
      <c r="AA366" s="12"/>
      <c r="AB366" s="12"/>
      <c r="AC366" s="13"/>
    </row>
    <row r="367" spans="1:29" ht="15.75" customHeight="1" x14ac:dyDescent="0.35">
      <c r="A367" s="15"/>
      <c r="B367" s="15"/>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30"/>
      <c r="AA367" s="12"/>
      <c r="AB367" s="12"/>
      <c r="AC367" s="13"/>
    </row>
    <row r="368" spans="1:29" ht="15.75" customHeight="1" x14ac:dyDescent="0.35">
      <c r="A368" s="15"/>
      <c r="B368" s="15"/>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30"/>
      <c r="AA368" s="12"/>
      <c r="AB368" s="12"/>
      <c r="AC368" s="13"/>
    </row>
    <row r="369" spans="1:29" ht="15.75" customHeight="1" x14ac:dyDescent="0.35">
      <c r="A369" s="15"/>
      <c r="B369" s="22"/>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30"/>
      <c r="AA369" s="20"/>
      <c r="AB369" s="20"/>
      <c r="AC369" s="13"/>
    </row>
    <row r="370" spans="1:29" ht="15.75" customHeight="1" x14ac:dyDescent="0.35">
      <c r="A370" s="22"/>
      <c r="B370" s="15"/>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30"/>
      <c r="AA370" s="12"/>
      <c r="AB370" s="12"/>
      <c r="AC370" s="13"/>
    </row>
    <row r="371" spans="1:29" ht="15.75" customHeight="1" x14ac:dyDescent="0.35">
      <c r="A371" s="15"/>
      <c r="B371" s="15"/>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30"/>
      <c r="AA371" s="12"/>
      <c r="AB371" s="12"/>
      <c r="AC371" s="13"/>
    </row>
    <row r="372" spans="1:29" ht="15.75" customHeight="1" x14ac:dyDescent="0.35">
      <c r="A372" s="15"/>
      <c r="B372" s="15"/>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30"/>
      <c r="AA372" s="12"/>
      <c r="AB372" s="12"/>
      <c r="AC372" s="13"/>
    </row>
    <row r="373" spans="1:29" ht="15.75" customHeight="1" x14ac:dyDescent="0.35">
      <c r="A373" s="15"/>
      <c r="B373" s="22"/>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30"/>
      <c r="AA373" s="20"/>
      <c r="AB373" s="20"/>
      <c r="AC373" s="13"/>
    </row>
    <row r="374" spans="1:29" ht="15.75" customHeight="1" x14ac:dyDescent="0.35">
      <c r="A374" s="22"/>
      <c r="B374" s="15"/>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30"/>
      <c r="AA374" s="12"/>
      <c r="AB374" s="12"/>
      <c r="AC374" s="13"/>
    </row>
    <row r="375" spans="1:29" ht="15.75" customHeight="1" x14ac:dyDescent="0.35">
      <c r="A375" s="15"/>
      <c r="B375" s="15"/>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30"/>
      <c r="AA375" s="12"/>
      <c r="AB375" s="12"/>
      <c r="AC375" s="13"/>
    </row>
    <row r="376" spans="1:29" ht="15.75" customHeight="1" x14ac:dyDescent="0.35">
      <c r="A376" s="15"/>
      <c r="B376" s="15"/>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30"/>
      <c r="AA376" s="12"/>
      <c r="AB376" s="12"/>
      <c r="AC376" s="13"/>
    </row>
    <row r="377" spans="1:29" ht="15.75" customHeight="1" x14ac:dyDescent="0.35">
      <c r="A377" s="15"/>
      <c r="B377" s="22"/>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30"/>
      <c r="AA377" s="20"/>
      <c r="AB377" s="20"/>
      <c r="AC377" s="13"/>
    </row>
    <row r="378" spans="1:29" ht="15.75" customHeight="1" x14ac:dyDescent="0.35">
      <c r="A378" s="22"/>
      <c r="B378" s="15"/>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30"/>
      <c r="AA378" s="12"/>
      <c r="AB378" s="12"/>
      <c r="AC378" s="13"/>
    </row>
    <row r="379" spans="1:29" ht="15.75" customHeight="1" x14ac:dyDescent="0.35">
      <c r="A379" s="15"/>
      <c r="B379" s="15"/>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30"/>
      <c r="AA379" s="12"/>
      <c r="AB379" s="12"/>
      <c r="AC379" s="13"/>
    </row>
    <row r="380" spans="1:29" ht="15.75" customHeight="1" x14ac:dyDescent="0.35">
      <c r="A380" s="15"/>
      <c r="B380" s="15"/>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30"/>
      <c r="AA380" s="12"/>
      <c r="AB380" s="12"/>
      <c r="AC380" s="13"/>
    </row>
    <row r="381" spans="1:29" ht="15.75" customHeight="1" x14ac:dyDescent="0.35">
      <c r="A381" s="15"/>
      <c r="B381" s="22"/>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30"/>
      <c r="AA381" s="12"/>
      <c r="AB381" s="12"/>
      <c r="AC381" s="13"/>
    </row>
    <row r="382" spans="1:29" ht="15.75" customHeight="1" x14ac:dyDescent="0.35">
      <c r="A382" s="22"/>
      <c r="B382" s="15"/>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30"/>
      <c r="AA382" s="12"/>
      <c r="AB382" s="12"/>
      <c r="AC382" s="13"/>
    </row>
    <row r="383" spans="1:29" ht="15.75" customHeight="1" x14ac:dyDescent="0.35">
      <c r="A383" s="15"/>
      <c r="B383" s="15"/>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30"/>
      <c r="AA383" s="12"/>
      <c r="AB383" s="12"/>
      <c r="AC383" s="13"/>
    </row>
    <row r="384" spans="1:29" ht="15.75" customHeight="1" x14ac:dyDescent="0.35">
      <c r="A384" s="15"/>
      <c r="B384" s="15"/>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30"/>
      <c r="AA384" s="12"/>
      <c r="AB384" s="12"/>
      <c r="AC384" s="13"/>
    </row>
    <row r="385" spans="1:29" ht="15.75" customHeight="1" x14ac:dyDescent="0.35">
      <c r="A385" s="15"/>
      <c r="B385" s="15"/>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30"/>
      <c r="AA385" s="12"/>
      <c r="AB385" s="12"/>
      <c r="AC385" s="13"/>
    </row>
    <row r="386" spans="1:29" ht="15.75" customHeight="1" x14ac:dyDescent="0.35">
      <c r="A386" s="15"/>
      <c r="B386" s="11"/>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30"/>
      <c r="AA386" s="12"/>
      <c r="AB386" s="12"/>
      <c r="AC386" s="13"/>
    </row>
    <row r="387" spans="1:29" ht="15.75" customHeight="1" x14ac:dyDescent="0.35">
      <c r="A387" s="11"/>
      <c r="B387" s="22"/>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30"/>
      <c r="AA387" s="20"/>
      <c r="AB387" s="20"/>
      <c r="AC387" s="13"/>
    </row>
    <row r="388" spans="1:29" ht="15.75" customHeight="1" x14ac:dyDescent="0.35">
      <c r="A388" s="22"/>
      <c r="B388" s="15"/>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30"/>
      <c r="AA388" s="12"/>
      <c r="AB388" s="12"/>
      <c r="AC388" s="13"/>
    </row>
    <row r="389" spans="1:29" ht="15.75" customHeight="1" x14ac:dyDescent="0.35">
      <c r="A389" s="15"/>
      <c r="B389" s="15"/>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30"/>
      <c r="AA389" s="12"/>
      <c r="AB389" s="12"/>
      <c r="AC389" s="13"/>
    </row>
    <row r="390" spans="1:29" ht="15.75" customHeight="1" x14ac:dyDescent="0.35">
      <c r="A390" s="15"/>
      <c r="B390" s="15"/>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30"/>
      <c r="AA390" s="12"/>
      <c r="AB390" s="12"/>
      <c r="AC390" s="13"/>
    </row>
    <row r="391" spans="1:29" ht="15.75" customHeight="1" x14ac:dyDescent="0.35">
      <c r="A391" s="15"/>
      <c r="B391" s="22"/>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30"/>
      <c r="AA391" s="20"/>
      <c r="AB391" s="20"/>
      <c r="AC391" s="13"/>
    </row>
    <row r="392" spans="1:29" ht="15.75" customHeight="1" x14ac:dyDescent="0.35">
      <c r="A392" s="22"/>
      <c r="B392" s="15"/>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30"/>
      <c r="AA392" s="12"/>
      <c r="AB392" s="12"/>
      <c r="AC392" s="13"/>
    </row>
    <row r="393" spans="1:29" ht="15.75" customHeight="1" x14ac:dyDescent="0.35">
      <c r="A393" s="15"/>
      <c r="B393" s="15"/>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30"/>
      <c r="AA393" s="12"/>
      <c r="AB393" s="12"/>
      <c r="AC393" s="13"/>
    </row>
    <row r="394" spans="1:29" ht="15.75" customHeight="1" x14ac:dyDescent="0.35">
      <c r="A394" s="15"/>
      <c r="B394" s="15"/>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30"/>
      <c r="AA394" s="12"/>
      <c r="AB394" s="12"/>
      <c r="AC394" s="13"/>
    </row>
    <row r="395" spans="1:29" ht="15.75" customHeight="1" x14ac:dyDescent="0.35">
      <c r="A395" s="15"/>
      <c r="B395" s="22"/>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30"/>
      <c r="AA395" s="20"/>
      <c r="AB395" s="20"/>
      <c r="AC395" s="13"/>
    </row>
    <row r="396" spans="1:29" ht="15.75" customHeight="1" x14ac:dyDescent="0.35">
      <c r="A396" s="22"/>
      <c r="B396" s="15"/>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30"/>
      <c r="AA396" s="12"/>
      <c r="AB396" s="12"/>
      <c r="AC396" s="13"/>
    </row>
    <row r="397" spans="1:29" ht="15.75" customHeight="1" x14ac:dyDescent="0.35">
      <c r="A397" s="15"/>
      <c r="B397" s="15"/>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30"/>
      <c r="AA397" s="12"/>
      <c r="AB397" s="12"/>
      <c r="AC397" s="13"/>
    </row>
    <row r="398" spans="1:29" ht="15.75" customHeight="1" x14ac:dyDescent="0.35">
      <c r="A398" s="15"/>
      <c r="B398" s="15"/>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30"/>
      <c r="AA398" s="12"/>
      <c r="AB398" s="12"/>
      <c r="AC398" s="13"/>
    </row>
    <row r="399" spans="1:29" ht="15.75" customHeight="1" x14ac:dyDescent="0.35">
      <c r="A399" s="15"/>
      <c r="B399" s="22"/>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30"/>
      <c r="AA399" s="20"/>
      <c r="AB399" s="20"/>
      <c r="AC399" s="13"/>
    </row>
    <row r="400" spans="1:29" ht="15.75" customHeight="1" x14ac:dyDescent="0.35">
      <c r="A400" s="22"/>
      <c r="B400" s="15"/>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30"/>
      <c r="AA400" s="12"/>
      <c r="AB400" s="12"/>
      <c r="AC400" s="13"/>
    </row>
    <row r="401" spans="1:29" ht="15.75" customHeight="1" x14ac:dyDescent="0.35">
      <c r="A401" s="15"/>
      <c r="B401" s="15"/>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30"/>
      <c r="AA401" s="12"/>
      <c r="AB401" s="12"/>
      <c r="AC401" s="13"/>
    </row>
    <row r="402" spans="1:29" ht="15.75" customHeight="1" x14ac:dyDescent="0.35">
      <c r="A402" s="15"/>
      <c r="B402" s="15"/>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30"/>
      <c r="AA402" s="12"/>
      <c r="AB402" s="12"/>
      <c r="AC402" s="13"/>
    </row>
    <row r="403" spans="1:29" ht="15.75" customHeight="1" x14ac:dyDescent="0.35">
      <c r="A403" s="15"/>
      <c r="B403" s="22"/>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30"/>
      <c r="AA403" s="20"/>
      <c r="AB403" s="20"/>
      <c r="AC403" s="13"/>
    </row>
    <row r="404" spans="1:29" ht="15.75" customHeight="1" x14ac:dyDescent="0.35">
      <c r="A404" s="22"/>
      <c r="B404" s="15"/>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30"/>
      <c r="AA404" s="12"/>
      <c r="AB404" s="12"/>
      <c r="AC404" s="13"/>
    </row>
    <row r="405" spans="1:29" ht="15.75" customHeight="1" x14ac:dyDescent="0.35">
      <c r="A405" s="15"/>
      <c r="B405" s="15"/>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30"/>
      <c r="AA405" s="12"/>
      <c r="AB405" s="12"/>
      <c r="AC405" s="13"/>
    </row>
    <row r="406" spans="1:29" ht="15.75" customHeight="1" x14ac:dyDescent="0.35">
      <c r="A406" s="15"/>
      <c r="B406" s="15"/>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30"/>
      <c r="AA406" s="12"/>
      <c r="AB406" s="12"/>
      <c r="AC406" s="13"/>
    </row>
    <row r="407" spans="1:29" ht="15.75" customHeight="1" x14ac:dyDescent="0.35">
      <c r="A407" s="15"/>
      <c r="B407" s="22"/>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30"/>
      <c r="AA407" s="12"/>
      <c r="AB407" s="12"/>
      <c r="AC407" s="13"/>
    </row>
    <row r="408" spans="1:29" ht="15.75" customHeight="1" x14ac:dyDescent="0.35">
      <c r="A408" s="22"/>
      <c r="B408" s="15"/>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30"/>
      <c r="AA408" s="12"/>
      <c r="AB408" s="12"/>
      <c r="AC408" s="13"/>
    </row>
    <row r="409" spans="1:29" ht="15.75" customHeight="1" x14ac:dyDescent="0.35">
      <c r="A409" s="15"/>
      <c r="B409" s="15"/>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30"/>
      <c r="AA409" s="12"/>
      <c r="AB409" s="12"/>
      <c r="AC409" s="13"/>
    </row>
    <row r="410" spans="1:29" ht="15.75" customHeight="1" x14ac:dyDescent="0.35">
      <c r="A410" s="15"/>
      <c r="B410" s="15"/>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30"/>
      <c r="AA410" s="12"/>
      <c r="AB410" s="12"/>
      <c r="AC410" s="13"/>
    </row>
    <row r="411" spans="1:29" ht="15.75" customHeight="1" x14ac:dyDescent="0.35">
      <c r="A411" s="15"/>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30"/>
      <c r="AA411" s="12"/>
      <c r="AB411" s="12"/>
      <c r="AC411" s="13"/>
    </row>
    <row r="412" spans="1:29" ht="15.75" customHeight="1" x14ac:dyDescent="0.35">
      <c r="B412" s="11"/>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30"/>
      <c r="AA412" s="12"/>
      <c r="AB412" s="12"/>
      <c r="AC412" s="13"/>
    </row>
    <row r="413" spans="1:29" ht="15.75" customHeight="1" x14ac:dyDescent="0.35">
      <c r="A413" s="11"/>
      <c r="B413" s="22"/>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30"/>
      <c r="AA413" s="20"/>
      <c r="AB413" s="20"/>
      <c r="AC413" s="13"/>
    </row>
    <row r="414" spans="1:29" ht="15.75" customHeight="1" x14ac:dyDescent="0.35">
      <c r="A414" s="22"/>
      <c r="B414" s="15"/>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30"/>
      <c r="AA414" s="12"/>
      <c r="AB414" s="12"/>
      <c r="AC414" s="13"/>
    </row>
    <row r="415" spans="1:29" ht="15.75" customHeight="1" x14ac:dyDescent="0.35">
      <c r="A415" s="15"/>
      <c r="B415" s="15"/>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30"/>
      <c r="AA415" s="12"/>
      <c r="AB415" s="12"/>
      <c r="AC415" s="13"/>
    </row>
    <row r="416" spans="1:29" ht="15.75" customHeight="1" x14ac:dyDescent="0.35">
      <c r="A416" s="15"/>
      <c r="B416" s="15"/>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30"/>
      <c r="AA416" s="12"/>
      <c r="AB416" s="12"/>
      <c r="AC416" s="13"/>
    </row>
    <row r="417" spans="1:29" ht="15.75" customHeight="1" x14ac:dyDescent="0.35">
      <c r="A417" s="15"/>
      <c r="B417" s="22"/>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30"/>
      <c r="AA417" s="20"/>
      <c r="AB417" s="20"/>
      <c r="AC417" s="13"/>
    </row>
    <row r="418" spans="1:29" ht="15.75" customHeight="1" x14ac:dyDescent="0.35">
      <c r="A418" s="22"/>
      <c r="B418" s="15"/>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30"/>
      <c r="AA418" s="12"/>
      <c r="AB418" s="12"/>
      <c r="AC418" s="13"/>
    </row>
    <row r="419" spans="1:29" ht="15.75" customHeight="1" x14ac:dyDescent="0.35">
      <c r="A419" s="15"/>
      <c r="B419" s="15"/>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30"/>
      <c r="AA419" s="12"/>
      <c r="AB419" s="12"/>
      <c r="AC419" s="13"/>
    </row>
    <row r="420" spans="1:29" ht="15.75" customHeight="1" x14ac:dyDescent="0.35">
      <c r="A420" s="15"/>
      <c r="B420" s="15"/>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30"/>
      <c r="AA420" s="12"/>
      <c r="AB420" s="12"/>
      <c r="AC420" s="13"/>
    </row>
    <row r="421" spans="1:29" ht="15.75" customHeight="1" x14ac:dyDescent="0.35">
      <c r="A421" s="15"/>
      <c r="B421" s="22"/>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30"/>
      <c r="AA421" s="20"/>
      <c r="AB421" s="20"/>
      <c r="AC421" s="13"/>
    </row>
    <row r="422" spans="1:29" ht="15.75" customHeight="1" x14ac:dyDescent="0.35">
      <c r="A422" s="22"/>
      <c r="B422" s="15"/>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30"/>
      <c r="AA422" s="12"/>
      <c r="AB422" s="12"/>
      <c r="AC422" s="13"/>
    </row>
    <row r="423" spans="1:29" ht="15.75" customHeight="1" x14ac:dyDescent="0.35">
      <c r="A423" s="15"/>
      <c r="B423" s="15"/>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30"/>
      <c r="AA423" s="12"/>
      <c r="AB423" s="12"/>
      <c r="AC423" s="13"/>
    </row>
    <row r="424" spans="1:29" ht="15.75" customHeight="1" x14ac:dyDescent="0.35">
      <c r="A424" s="15"/>
      <c r="B424" s="15"/>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30"/>
      <c r="AA424" s="12"/>
      <c r="AB424" s="12"/>
      <c r="AC424" s="13"/>
    </row>
    <row r="425" spans="1:29" ht="15.75" customHeight="1" x14ac:dyDescent="0.35">
      <c r="A425" s="15"/>
      <c r="B425" s="22"/>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30"/>
      <c r="AA425" s="20"/>
      <c r="AB425" s="20"/>
      <c r="AC425" s="13"/>
    </row>
    <row r="426" spans="1:29" ht="15.75" customHeight="1" x14ac:dyDescent="0.35">
      <c r="A426" s="22"/>
      <c r="B426" s="15"/>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30"/>
      <c r="AA426" s="12"/>
      <c r="AB426" s="12"/>
      <c r="AC426" s="13"/>
    </row>
    <row r="427" spans="1:29" ht="15.75" customHeight="1" x14ac:dyDescent="0.35">
      <c r="A427" s="15"/>
      <c r="B427" s="15"/>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30"/>
      <c r="AA427" s="12"/>
      <c r="AB427" s="12"/>
      <c r="AC427" s="13"/>
    </row>
    <row r="428" spans="1:29" ht="15.75" customHeight="1" x14ac:dyDescent="0.35">
      <c r="A428" s="15"/>
      <c r="B428" s="15"/>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30"/>
      <c r="AA428" s="12"/>
      <c r="AB428" s="12"/>
      <c r="AC428" s="13"/>
    </row>
    <row r="429" spans="1:29" ht="15.75" customHeight="1" x14ac:dyDescent="0.35">
      <c r="A429" s="15"/>
      <c r="B429" s="22"/>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30"/>
      <c r="AA429" s="20"/>
      <c r="AB429" s="20"/>
      <c r="AC429" s="13"/>
    </row>
    <row r="430" spans="1:29" ht="15.75" customHeight="1" x14ac:dyDescent="0.35">
      <c r="A430" s="22"/>
      <c r="B430" s="15"/>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30"/>
      <c r="AA430" s="12"/>
      <c r="AB430" s="12"/>
      <c r="AC430" s="13"/>
    </row>
    <row r="431" spans="1:29" ht="15.75" customHeight="1" x14ac:dyDescent="0.35">
      <c r="A431" s="15"/>
      <c r="B431" s="15"/>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30"/>
      <c r="AA431" s="12"/>
      <c r="AB431" s="12"/>
      <c r="AC431" s="13"/>
    </row>
    <row r="432" spans="1:29" ht="15.75" customHeight="1" x14ac:dyDescent="0.35">
      <c r="A432" s="15"/>
      <c r="B432" s="15"/>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30"/>
      <c r="AA432" s="12"/>
      <c r="AB432" s="12"/>
      <c r="AC432" s="13"/>
    </row>
    <row r="433" spans="1:29" ht="15.75" customHeight="1" x14ac:dyDescent="0.35">
      <c r="A433" s="15"/>
      <c r="B433" s="22"/>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5"/>
      <c r="AA433" s="12"/>
      <c r="AB433" s="12"/>
      <c r="AC433" s="13"/>
    </row>
    <row r="434" spans="1:29" ht="15.75" customHeight="1" x14ac:dyDescent="0.35">
      <c r="A434" s="22"/>
      <c r="B434" s="15"/>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25"/>
      <c r="AA434" s="12"/>
      <c r="AB434" s="12"/>
      <c r="AC434" s="13"/>
    </row>
    <row r="435" spans="1:29" ht="15.75" customHeight="1" x14ac:dyDescent="0.35">
      <c r="A435" s="15"/>
      <c r="B435" s="15"/>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25"/>
      <c r="AA435" s="12"/>
      <c r="AB435" s="12"/>
      <c r="AC435" s="13"/>
    </row>
    <row r="436" spans="1:29" ht="15.75" customHeight="1" x14ac:dyDescent="0.35">
      <c r="A436" s="15"/>
      <c r="B436" s="15"/>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25"/>
      <c r="AA436" s="12"/>
      <c r="AB436" s="12"/>
      <c r="AC436" s="13"/>
    </row>
    <row r="437" spans="1:29" ht="15.75" customHeight="1" x14ac:dyDescent="0.35">
      <c r="A437" s="15"/>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30"/>
      <c r="AA437" s="20"/>
      <c r="AB437" s="20"/>
      <c r="AC437" s="13"/>
    </row>
    <row r="438" spans="1:29" ht="15.75" customHeight="1" x14ac:dyDescent="0.35">
      <c r="B438" s="11"/>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30"/>
      <c r="AA438" s="12"/>
      <c r="AB438" s="12"/>
      <c r="AC438" s="13"/>
    </row>
    <row r="439" spans="1:29" ht="15.75" customHeight="1" x14ac:dyDescent="0.35">
      <c r="A439" s="11"/>
      <c r="B439" s="22"/>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30"/>
      <c r="AA439" s="20"/>
      <c r="AB439" s="20"/>
      <c r="AC439" s="13"/>
    </row>
    <row r="440" spans="1:29" ht="15.75" customHeight="1" x14ac:dyDescent="0.35">
      <c r="A440" s="22"/>
      <c r="B440" s="15"/>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30"/>
      <c r="AA440" s="12"/>
      <c r="AB440" s="12"/>
      <c r="AC440" s="13"/>
    </row>
    <row r="441" spans="1:29" ht="15.75" customHeight="1" x14ac:dyDescent="0.35">
      <c r="A441" s="15"/>
      <c r="B441" s="15"/>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30"/>
      <c r="AA441" s="12"/>
      <c r="AB441" s="12"/>
      <c r="AC441" s="13"/>
    </row>
    <row r="442" spans="1:29" ht="15.75" customHeight="1" x14ac:dyDescent="0.35">
      <c r="A442" s="15"/>
      <c r="B442" s="15"/>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30"/>
      <c r="AA442" s="12"/>
      <c r="AB442" s="12"/>
      <c r="AC442" s="13"/>
    </row>
    <row r="443" spans="1:29" ht="15.75" customHeight="1" x14ac:dyDescent="0.35">
      <c r="A443" s="15"/>
      <c r="B443" s="22"/>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30"/>
      <c r="AA443" s="20"/>
      <c r="AB443" s="20"/>
      <c r="AC443" s="13"/>
    </row>
    <row r="444" spans="1:29" ht="15.75" customHeight="1" x14ac:dyDescent="0.35">
      <c r="A444" s="22"/>
      <c r="B444" s="15"/>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30"/>
      <c r="AA444" s="12"/>
      <c r="AB444" s="12"/>
      <c r="AC444" s="13"/>
    </row>
    <row r="445" spans="1:29" ht="15.75" customHeight="1" x14ac:dyDescent="0.35">
      <c r="A445" s="15"/>
      <c r="B445" s="15"/>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30"/>
      <c r="AA445" s="12"/>
      <c r="AB445" s="12"/>
      <c r="AC445" s="13"/>
    </row>
    <row r="446" spans="1:29" ht="15.75" customHeight="1" x14ac:dyDescent="0.35">
      <c r="A446" s="15"/>
      <c r="B446" s="15"/>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30"/>
      <c r="AA446" s="12"/>
      <c r="AB446" s="12"/>
      <c r="AC446" s="13"/>
    </row>
    <row r="447" spans="1:29" ht="15.75" customHeight="1" x14ac:dyDescent="0.35">
      <c r="A447" s="15"/>
      <c r="B447" s="22"/>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30"/>
      <c r="AA447" s="20"/>
      <c r="AB447" s="20"/>
      <c r="AC447" s="13"/>
    </row>
    <row r="448" spans="1:29" ht="15.75" customHeight="1" x14ac:dyDescent="0.35">
      <c r="A448" s="22"/>
      <c r="B448" s="15"/>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30"/>
      <c r="AA448" s="12"/>
      <c r="AB448" s="12"/>
      <c r="AC448" s="13"/>
    </row>
    <row r="449" spans="1:29" ht="15.75" customHeight="1" x14ac:dyDescent="0.35">
      <c r="A449" s="15"/>
      <c r="B449" s="15"/>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30"/>
      <c r="AA449" s="12"/>
      <c r="AB449" s="12"/>
      <c r="AC449" s="13"/>
    </row>
    <row r="450" spans="1:29" ht="15.75" customHeight="1" x14ac:dyDescent="0.35">
      <c r="A450" s="15"/>
      <c r="B450" s="15"/>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30"/>
      <c r="AA450" s="12"/>
      <c r="AB450" s="12"/>
      <c r="AC450" s="13"/>
    </row>
    <row r="451" spans="1:29" ht="15.75" customHeight="1" x14ac:dyDescent="0.35">
      <c r="A451" s="15"/>
      <c r="B451" s="22"/>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30"/>
      <c r="AA451" s="20"/>
      <c r="AB451" s="20"/>
      <c r="AC451" s="13"/>
    </row>
    <row r="452" spans="1:29" ht="15.75" customHeight="1" x14ac:dyDescent="0.35">
      <c r="A452" s="22"/>
      <c r="B452" s="15"/>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30"/>
      <c r="AA452" s="12"/>
      <c r="AB452" s="12"/>
      <c r="AC452" s="13"/>
    </row>
    <row r="453" spans="1:29" ht="15.75" customHeight="1" x14ac:dyDescent="0.35">
      <c r="A453" s="15"/>
      <c r="B453" s="15"/>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30"/>
      <c r="AA453" s="12"/>
      <c r="AB453" s="12"/>
      <c r="AC453" s="13"/>
    </row>
    <row r="454" spans="1:29" ht="15.75" customHeight="1" x14ac:dyDescent="0.35">
      <c r="A454" s="15"/>
      <c r="B454" s="15"/>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30"/>
      <c r="AA454" s="12"/>
      <c r="AB454" s="12"/>
      <c r="AC454" s="13"/>
    </row>
    <row r="455" spans="1:29" ht="15.75" customHeight="1" x14ac:dyDescent="0.35">
      <c r="A455" s="15"/>
      <c r="B455" s="22"/>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30"/>
      <c r="AA455" s="20"/>
      <c r="AB455" s="20"/>
      <c r="AC455" s="13"/>
    </row>
    <row r="456" spans="1:29" ht="15.75" customHeight="1" x14ac:dyDescent="0.35">
      <c r="A456" s="22"/>
      <c r="B456" s="15"/>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30"/>
      <c r="AA456" s="12"/>
      <c r="AB456" s="12"/>
      <c r="AC456" s="13"/>
    </row>
    <row r="457" spans="1:29" ht="15.75" customHeight="1" x14ac:dyDescent="0.35">
      <c r="A457" s="15"/>
      <c r="B457" s="15"/>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30"/>
      <c r="AA457" s="12"/>
      <c r="AB457" s="12"/>
      <c r="AC457" s="13"/>
    </row>
    <row r="458" spans="1:29" ht="15.75" customHeight="1" x14ac:dyDescent="0.35">
      <c r="A458" s="15"/>
      <c r="B458" s="15"/>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30"/>
      <c r="AA458" s="12"/>
      <c r="AB458" s="12"/>
      <c r="AC458" s="13"/>
    </row>
    <row r="459" spans="1:29" ht="15.75" customHeight="1" x14ac:dyDescent="0.35">
      <c r="A459" s="15"/>
      <c r="B459" s="22"/>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30"/>
      <c r="AA459" s="12"/>
      <c r="AB459" s="12"/>
      <c r="AC459" s="13"/>
    </row>
    <row r="460" spans="1:29" ht="15.75" customHeight="1" x14ac:dyDescent="0.35">
      <c r="A460" s="22"/>
      <c r="B460" s="15"/>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30"/>
      <c r="AA460" s="12"/>
      <c r="AB460" s="12"/>
      <c r="AC460" s="13"/>
    </row>
    <row r="461" spans="1:29" ht="15.75" customHeight="1" x14ac:dyDescent="0.35">
      <c r="A461" s="15"/>
      <c r="B461" s="15"/>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30"/>
      <c r="AA461" s="12"/>
      <c r="AB461" s="12"/>
      <c r="AC461" s="13"/>
    </row>
    <row r="462" spans="1:29" ht="15.75" customHeight="1" x14ac:dyDescent="0.35">
      <c r="A462" s="15"/>
      <c r="B462" s="15"/>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30"/>
      <c r="AA462" s="12"/>
      <c r="AB462" s="12"/>
      <c r="AC462" s="13"/>
    </row>
    <row r="463" spans="1:29" ht="15.75" customHeight="1" x14ac:dyDescent="0.35">
      <c r="A463" s="15"/>
      <c r="B463" s="15"/>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30"/>
      <c r="AA463" s="12"/>
      <c r="AB463" s="12"/>
      <c r="AC463" s="13"/>
    </row>
    <row r="464" spans="1:29" ht="15.75" customHeight="1" x14ac:dyDescent="0.35">
      <c r="A464" s="15"/>
      <c r="B464" s="11"/>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30"/>
      <c r="AA464" s="20"/>
      <c r="AB464" s="20"/>
      <c r="AC464" s="13"/>
    </row>
    <row r="465" spans="1:29" ht="15.75" customHeight="1" x14ac:dyDescent="0.35">
      <c r="A465" s="11"/>
      <c r="B465" s="22"/>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30"/>
      <c r="AA465" s="20"/>
      <c r="AB465" s="20"/>
      <c r="AC465" s="13"/>
    </row>
    <row r="466" spans="1:29" ht="15.75" customHeight="1" x14ac:dyDescent="0.35">
      <c r="A466" s="22"/>
      <c r="B466" s="15"/>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30"/>
      <c r="AA466" s="12"/>
      <c r="AB466" s="12"/>
      <c r="AC466" s="13"/>
    </row>
    <row r="467" spans="1:29" ht="15.75" customHeight="1" x14ac:dyDescent="0.35">
      <c r="A467" s="15"/>
      <c r="B467" s="15"/>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30"/>
      <c r="AA467" s="12"/>
      <c r="AB467" s="12"/>
      <c r="AC467" s="13"/>
    </row>
    <row r="468" spans="1:29" ht="15.75" customHeight="1" x14ac:dyDescent="0.35">
      <c r="A468" s="15"/>
      <c r="B468" s="15"/>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30"/>
      <c r="AA468" s="12"/>
      <c r="AB468" s="12"/>
      <c r="AC468" s="13"/>
    </row>
    <row r="469" spans="1:29" ht="15.75" customHeight="1" x14ac:dyDescent="0.35">
      <c r="A469" s="15"/>
      <c r="B469" s="22"/>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30"/>
      <c r="AA469" s="20"/>
      <c r="AB469" s="20"/>
      <c r="AC469" s="13"/>
    </row>
    <row r="470" spans="1:29" ht="15.75" customHeight="1" x14ac:dyDescent="0.35">
      <c r="A470" s="22"/>
      <c r="B470" s="15"/>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30"/>
      <c r="AA470" s="12"/>
      <c r="AB470" s="12"/>
      <c r="AC470" s="13"/>
    </row>
    <row r="471" spans="1:29" ht="15.75" customHeight="1" x14ac:dyDescent="0.35">
      <c r="A471" s="15"/>
      <c r="B471" s="15"/>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30"/>
      <c r="AA471" s="12"/>
      <c r="AB471" s="12"/>
      <c r="AC471" s="13"/>
    </row>
    <row r="472" spans="1:29" ht="15.75" customHeight="1" x14ac:dyDescent="0.35">
      <c r="A472" s="15"/>
      <c r="B472" s="15"/>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30"/>
      <c r="AA472" s="12"/>
      <c r="AB472" s="12"/>
      <c r="AC472" s="13"/>
    </row>
    <row r="473" spans="1:29" ht="15.75" customHeight="1" x14ac:dyDescent="0.35">
      <c r="A473" s="15"/>
      <c r="B473" s="22"/>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30"/>
      <c r="AA473" s="20"/>
      <c r="AB473" s="20"/>
      <c r="AC473" s="13"/>
    </row>
    <row r="474" spans="1:29" ht="15.75" customHeight="1" x14ac:dyDescent="0.35">
      <c r="A474" s="22"/>
      <c r="B474" s="15"/>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30"/>
      <c r="AA474" s="12"/>
      <c r="AB474" s="12"/>
      <c r="AC474" s="13"/>
    </row>
    <row r="475" spans="1:29" ht="15.75" customHeight="1" x14ac:dyDescent="0.35">
      <c r="A475" s="15"/>
      <c r="B475" s="15"/>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30"/>
      <c r="AA475" s="12"/>
      <c r="AB475" s="12"/>
      <c r="AC475" s="13"/>
    </row>
    <row r="476" spans="1:29" ht="15.75" customHeight="1" x14ac:dyDescent="0.35">
      <c r="A476" s="15"/>
      <c r="B476" s="15"/>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30"/>
      <c r="AA476" s="12"/>
      <c r="AB476" s="12"/>
      <c r="AC476" s="13"/>
    </row>
    <row r="477" spans="1:29" ht="15.75" customHeight="1" x14ac:dyDescent="0.35">
      <c r="A477" s="15"/>
      <c r="B477" s="22"/>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30"/>
      <c r="AA477" s="20"/>
      <c r="AB477" s="20"/>
      <c r="AC477" s="13"/>
    </row>
    <row r="478" spans="1:29" ht="15.75" customHeight="1" x14ac:dyDescent="0.35">
      <c r="A478" s="22"/>
      <c r="B478" s="15"/>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30"/>
      <c r="AA478" s="12"/>
      <c r="AB478" s="12"/>
      <c r="AC478" s="13"/>
    </row>
    <row r="479" spans="1:29" ht="15.75" customHeight="1" x14ac:dyDescent="0.35">
      <c r="A479" s="15"/>
      <c r="B479" s="15"/>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30"/>
      <c r="AA479" s="12"/>
      <c r="AB479" s="12"/>
      <c r="AC479" s="13"/>
    </row>
    <row r="480" spans="1:29" ht="15.75" customHeight="1" x14ac:dyDescent="0.35">
      <c r="A480" s="15"/>
      <c r="B480" s="15"/>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30"/>
      <c r="AA480" s="12"/>
      <c r="AB480" s="12"/>
      <c r="AC480" s="13"/>
    </row>
    <row r="481" spans="1:29" ht="15.75" customHeight="1" x14ac:dyDescent="0.35">
      <c r="A481" s="15"/>
      <c r="B481" s="22"/>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30"/>
      <c r="AA481" s="20"/>
      <c r="AB481" s="20"/>
      <c r="AC481" s="13"/>
    </row>
    <row r="482" spans="1:29" ht="15.75" customHeight="1" x14ac:dyDescent="0.35">
      <c r="A482" s="22"/>
      <c r="B482" s="15"/>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30"/>
      <c r="AA482" s="12"/>
      <c r="AB482" s="12"/>
      <c r="AC482" s="13"/>
    </row>
    <row r="483" spans="1:29" ht="15.75" customHeight="1" x14ac:dyDescent="0.35">
      <c r="A483" s="15"/>
      <c r="B483" s="15"/>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30"/>
      <c r="AA483" s="12"/>
      <c r="AB483" s="12"/>
      <c r="AC483" s="13"/>
    </row>
    <row r="484" spans="1:29" ht="15.75" customHeight="1" x14ac:dyDescent="0.35">
      <c r="A484" s="15"/>
      <c r="B484" s="15"/>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30"/>
      <c r="AA484" s="12"/>
      <c r="AB484" s="12"/>
      <c r="AC484" s="13"/>
    </row>
    <row r="485" spans="1:29" ht="15.75" customHeight="1" x14ac:dyDescent="0.35">
      <c r="A485" s="15"/>
      <c r="B485" s="22"/>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30"/>
      <c r="AA485" s="12"/>
      <c r="AB485" s="12"/>
      <c r="AC485" s="13"/>
    </row>
    <row r="486" spans="1:29" ht="15.75" customHeight="1" x14ac:dyDescent="0.35">
      <c r="A486" s="22"/>
      <c r="B486" s="15"/>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30"/>
      <c r="AA486" s="12"/>
      <c r="AB486" s="12"/>
      <c r="AC486" s="13"/>
    </row>
    <row r="487" spans="1:29" ht="15.75" customHeight="1" x14ac:dyDescent="0.35">
      <c r="A487" s="15"/>
      <c r="B487" s="15"/>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30"/>
      <c r="AA487" s="12"/>
      <c r="AB487" s="12"/>
      <c r="AC487" s="13"/>
    </row>
    <row r="488" spans="1:29" ht="15.75" customHeight="1" x14ac:dyDescent="0.35">
      <c r="A488" s="15"/>
      <c r="B488" s="15"/>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30"/>
      <c r="AA488" s="12"/>
      <c r="AB488" s="12"/>
      <c r="AC488" s="13"/>
    </row>
    <row r="489" spans="1:29" ht="15.75" customHeight="1" x14ac:dyDescent="0.35">
      <c r="A489" s="15"/>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30"/>
      <c r="AA489" s="14"/>
      <c r="AB489" s="14"/>
      <c r="AC489" s="13"/>
    </row>
    <row r="490" spans="1:29" ht="15.75" customHeight="1" x14ac:dyDescent="0.35">
      <c r="B490" s="11"/>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30"/>
      <c r="AA490" s="14"/>
      <c r="AB490" s="14"/>
      <c r="AC490" s="13"/>
    </row>
    <row r="491" spans="1:29" ht="15.75" customHeight="1" x14ac:dyDescent="0.35">
      <c r="A491" s="11"/>
      <c r="B491" s="22"/>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30"/>
      <c r="AA491" s="20"/>
      <c r="AB491" s="20"/>
      <c r="AC491" s="13"/>
    </row>
    <row r="492" spans="1:29" ht="15.75" customHeight="1" x14ac:dyDescent="0.35">
      <c r="A492" s="22"/>
      <c r="B492" s="15"/>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30"/>
      <c r="AA492" s="12"/>
      <c r="AB492" s="12"/>
      <c r="AC492" s="13"/>
    </row>
    <row r="493" spans="1:29" ht="15.75" customHeight="1" x14ac:dyDescent="0.35">
      <c r="A493" s="15"/>
      <c r="B493" s="15"/>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30"/>
      <c r="AA493" s="12"/>
      <c r="AB493" s="12"/>
      <c r="AC493" s="13"/>
    </row>
    <row r="494" spans="1:29" ht="15.75" customHeight="1" x14ac:dyDescent="0.35">
      <c r="A494" s="15"/>
      <c r="B494" s="15"/>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30"/>
      <c r="AA494" s="12"/>
      <c r="AB494" s="12"/>
      <c r="AC494" s="13"/>
    </row>
    <row r="495" spans="1:29" ht="15.75" customHeight="1" x14ac:dyDescent="0.35">
      <c r="A495" s="15"/>
      <c r="B495" s="22"/>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30"/>
      <c r="AA495" s="20"/>
      <c r="AB495" s="20"/>
      <c r="AC495" s="13"/>
    </row>
    <row r="496" spans="1:29" ht="15.75" customHeight="1" x14ac:dyDescent="0.35">
      <c r="A496" s="22"/>
      <c r="B496" s="15"/>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30"/>
      <c r="AA496" s="12"/>
      <c r="AB496" s="12"/>
      <c r="AC496" s="13"/>
    </row>
    <row r="497" spans="1:29" ht="15.75" customHeight="1" x14ac:dyDescent="0.35">
      <c r="A497" s="15"/>
      <c r="B497" s="15"/>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30"/>
      <c r="AA497" s="12"/>
      <c r="AB497" s="12"/>
      <c r="AC497" s="13"/>
    </row>
    <row r="498" spans="1:29" ht="15.75" customHeight="1" x14ac:dyDescent="0.35">
      <c r="A498" s="15"/>
      <c r="B498" s="15"/>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30"/>
      <c r="AA498" s="12"/>
      <c r="AB498" s="12"/>
      <c r="AC498" s="13"/>
    </row>
    <row r="499" spans="1:29" ht="15.75" customHeight="1" x14ac:dyDescent="0.35">
      <c r="A499" s="15"/>
      <c r="B499" s="22"/>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30"/>
      <c r="AA499" s="20"/>
      <c r="AB499" s="20"/>
      <c r="AC499" s="13"/>
    </row>
    <row r="500" spans="1:29" ht="15.75" customHeight="1" x14ac:dyDescent="0.35">
      <c r="A500" s="22"/>
      <c r="B500" s="15"/>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30"/>
      <c r="AA500" s="12"/>
      <c r="AB500" s="12"/>
      <c r="AC500" s="13"/>
    </row>
    <row r="501" spans="1:29" ht="15.75" customHeight="1" x14ac:dyDescent="0.35">
      <c r="A501" s="15"/>
      <c r="B501" s="15"/>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30"/>
      <c r="AA501" s="12"/>
      <c r="AB501" s="12"/>
      <c r="AC501" s="13"/>
    </row>
    <row r="502" spans="1:29" ht="15.75" customHeight="1" x14ac:dyDescent="0.35">
      <c r="A502" s="15"/>
      <c r="B502" s="15"/>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30"/>
      <c r="AA502" s="12"/>
      <c r="AB502" s="12"/>
      <c r="AC502" s="13"/>
    </row>
    <row r="503" spans="1:29" ht="15.75" customHeight="1" x14ac:dyDescent="0.35">
      <c r="A503" s="15"/>
      <c r="B503" s="22"/>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30"/>
      <c r="AA503" s="20"/>
      <c r="AB503" s="20"/>
      <c r="AC503" s="13"/>
    </row>
    <row r="504" spans="1:29" ht="15.75" customHeight="1" x14ac:dyDescent="0.35">
      <c r="A504" s="22"/>
      <c r="B504" s="15"/>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30"/>
      <c r="AA504" s="12"/>
      <c r="AB504" s="12"/>
      <c r="AC504" s="13"/>
    </row>
    <row r="505" spans="1:29" ht="15.75" customHeight="1" x14ac:dyDescent="0.35">
      <c r="A505" s="15"/>
      <c r="B505" s="15"/>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30"/>
      <c r="AA505" s="12"/>
      <c r="AB505" s="12"/>
      <c r="AC505" s="13"/>
    </row>
    <row r="506" spans="1:29" ht="15.75" customHeight="1" x14ac:dyDescent="0.35">
      <c r="A506" s="15"/>
      <c r="B506" s="15"/>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30"/>
      <c r="AA506" s="12"/>
      <c r="AB506" s="12"/>
      <c r="AC506" s="13"/>
    </row>
    <row r="507" spans="1:29" ht="15.75" customHeight="1" x14ac:dyDescent="0.35">
      <c r="A507" s="15"/>
      <c r="B507" s="22"/>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30"/>
      <c r="AA507" s="20"/>
      <c r="AB507" s="20"/>
      <c r="AC507" s="13"/>
    </row>
    <row r="508" spans="1:29" ht="15.75" customHeight="1" x14ac:dyDescent="0.35">
      <c r="A508" s="22"/>
      <c r="B508" s="15"/>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30"/>
      <c r="AA508" s="12"/>
      <c r="AB508" s="12"/>
      <c r="AC508" s="13"/>
    </row>
    <row r="509" spans="1:29" ht="15.75" customHeight="1" x14ac:dyDescent="0.35">
      <c r="A509" s="15"/>
      <c r="B509" s="15"/>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30"/>
      <c r="AA509" s="12"/>
      <c r="AB509" s="12"/>
      <c r="AC509" s="13"/>
    </row>
    <row r="510" spans="1:29" ht="15.75" customHeight="1" x14ac:dyDescent="0.35">
      <c r="A510" s="15"/>
      <c r="B510" s="15"/>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30"/>
      <c r="AA510" s="12"/>
      <c r="AB510" s="12"/>
      <c r="AC510" s="13"/>
    </row>
    <row r="511" spans="1:29" ht="15.75" customHeight="1" x14ac:dyDescent="0.35">
      <c r="A511" s="15"/>
      <c r="B511" s="22"/>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30"/>
      <c r="AA511" s="12"/>
      <c r="AB511" s="12"/>
      <c r="AC511" s="13"/>
    </row>
    <row r="512" spans="1:29" ht="15.75" customHeight="1" x14ac:dyDescent="0.35">
      <c r="A512" s="22"/>
      <c r="B512" s="15"/>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30"/>
      <c r="AA512" s="12"/>
      <c r="AB512" s="12"/>
      <c r="AC512" s="13"/>
    </row>
    <row r="513" spans="1:29" ht="15.75" customHeight="1" x14ac:dyDescent="0.35">
      <c r="A513" s="15"/>
      <c r="B513" s="15"/>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30"/>
      <c r="AA513" s="12"/>
      <c r="AB513" s="12"/>
      <c r="AC513" s="13"/>
    </row>
    <row r="514" spans="1:29" ht="15.75" customHeight="1" x14ac:dyDescent="0.35">
      <c r="A514" s="15"/>
      <c r="B514" s="15"/>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30"/>
      <c r="AA514" s="12"/>
      <c r="AB514" s="12"/>
      <c r="AC514" s="13"/>
    </row>
    <row r="515" spans="1:29" ht="15.75" customHeight="1" x14ac:dyDescent="0.35">
      <c r="A515" s="15"/>
      <c r="B515" s="15"/>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0"/>
      <c r="AA515" s="14"/>
      <c r="AB515" s="14"/>
      <c r="AC515" s="13"/>
    </row>
    <row r="516" spans="1:29" ht="15.75" customHeight="1" x14ac:dyDescent="0.35">
      <c r="A516" s="15"/>
      <c r="B516" s="1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0"/>
      <c r="AA516" s="14"/>
      <c r="AB516" s="14"/>
      <c r="AC516" s="13"/>
    </row>
    <row r="517" spans="1:29" ht="15.75" customHeight="1" x14ac:dyDescent="0.35">
      <c r="A517" s="11"/>
      <c r="B517" s="22"/>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30"/>
      <c r="AA517" s="20"/>
      <c r="AB517" s="20"/>
      <c r="AC517" s="13"/>
    </row>
    <row r="518" spans="1:29" ht="15.75" customHeight="1" x14ac:dyDescent="0.35">
      <c r="A518" s="22"/>
      <c r="B518" s="15"/>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30"/>
      <c r="AA518" s="12"/>
      <c r="AB518" s="12"/>
      <c r="AC518" s="13"/>
    </row>
    <row r="519" spans="1:29" ht="15.75" customHeight="1" x14ac:dyDescent="0.35">
      <c r="A519" s="15"/>
      <c r="B519" s="15"/>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30"/>
      <c r="AA519" s="12"/>
      <c r="AB519" s="12"/>
      <c r="AC519" s="13"/>
    </row>
    <row r="520" spans="1:29" ht="15.75" customHeight="1" x14ac:dyDescent="0.35">
      <c r="A520" s="15"/>
      <c r="B520" s="15"/>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30"/>
      <c r="AA520" s="12"/>
      <c r="AB520" s="12"/>
      <c r="AC520" s="13"/>
    </row>
    <row r="521" spans="1:29" ht="15.75" customHeight="1" x14ac:dyDescent="0.35">
      <c r="A521" s="15"/>
      <c r="B521" s="22"/>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30"/>
      <c r="AA521" s="20"/>
      <c r="AB521" s="20"/>
      <c r="AC521" s="13"/>
    </row>
    <row r="522" spans="1:29" ht="15.75" customHeight="1" x14ac:dyDescent="0.35">
      <c r="A522" s="22"/>
      <c r="B522" s="15"/>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30"/>
      <c r="AA522" s="12"/>
      <c r="AB522" s="12"/>
      <c r="AC522" s="13"/>
    </row>
    <row r="523" spans="1:29" ht="15.75" customHeight="1" x14ac:dyDescent="0.35">
      <c r="A523" s="15"/>
      <c r="B523" s="15"/>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30"/>
      <c r="AA523" s="12"/>
      <c r="AB523" s="12"/>
      <c r="AC523" s="13"/>
    </row>
    <row r="524" spans="1:29" ht="15.75" customHeight="1" x14ac:dyDescent="0.35">
      <c r="A524" s="15"/>
      <c r="B524" s="15"/>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30"/>
      <c r="AA524" s="12"/>
      <c r="AB524" s="12"/>
      <c r="AC524" s="13"/>
    </row>
    <row r="525" spans="1:29" ht="15.75" customHeight="1" x14ac:dyDescent="0.35">
      <c r="A525" s="15"/>
      <c r="B525" s="22"/>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30"/>
      <c r="AA525" s="20"/>
      <c r="AB525" s="20"/>
      <c r="AC525" s="13"/>
    </row>
    <row r="526" spans="1:29" ht="15.75" customHeight="1" x14ac:dyDescent="0.35">
      <c r="A526" s="22"/>
      <c r="B526" s="15"/>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30"/>
      <c r="AA526" s="12"/>
      <c r="AB526" s="12"/>
      <c r="AC526" s="13"/>
    </row>
    <row r="527" spans="1:29" ht="15.75" customHeight="1" x14ac:dyDescent="0.35">
      <c r="A527" s="15"/>
      <c r="B527" s="15"/>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30"/>
      <c r="AA527" s="12"/>
      <c r="AB527" s="12"/>
      <c r="AC527" s="13"/>
    </row>
    <row r="528" spans="1:29" ht="15.75" customHeight="1" x14ac:dyDescent="0.35">
      <c r="A528" s="15"/>
      <c r="B528" s="15"/>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30"/>
      <c r="AA528" s="12"/>
      <c r="AB528" s="12"/>
      <c r="AC528" s="13"/>
    </row>
    <row r="529" spans="1:29" ht="15.75" customHeight="1" x14ac:dyDescent="0.35">
      <c r="A529" s="15"/>
      <c r="B529" s="22"/>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30"/>
      <c r="AA529" s="20"/>
      <c r="AB529" s="20"/>
      <c r="AC529" s="13"/>
    </row>
    <row r="530" spans="1:29" ht="15.75" customHeight="1" x14ac:dyDescent="0.35">
      <c r="A530" s="22"/>
      <c r="B530" s="15"/>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30"/>
      <c r="AA530" s="12"/>
      <c r="AB530" s="12"/>
      <c r="AC530" s="13"/>
    </row>
    <row r="531" spans="1:29" ht="15.75" customHeight="1" x14ac:dyDescent="0.35">
      <c r="A531" s="15"/>
      <c r="B531" s="15"/>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30"/>
      <c r="AA531" s="12"/>
      <c r="AB531" s="12"/>
      <c r="AC531" s="13"/>
    </row>
    <row r="532" spans="1:29" ht="15.75" customHeight="1" x14ac:dyDescent="0.35">
      <c r="A532" s="15"/>
      <c r="B532" s="15"/>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30"/>
      <c r="AA532" s="12"/>
      <c r="AB532" s="12"/>
      <c r="AC532" s="13"/>
    </row>
    <row r="533" spans="1:29" ht="15.75" customHeight="1" x14ac:dyDescent="0.35">
      <c r="A533" s="15"/>
      <c r="B533" s="22"/>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30"/>
      <c r="AA533" s="20"/>
      <c r="AB533" s="20"/>
      <c r="AC533" s="13"/>
    </row>
    <row r="534" spans="1:29" ht="15.75" customHeight="1" x14ac:dyDescent="0.35">
      <c r="A534" s="22"/>
      <c r="B534" s="15"/>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30"/>
      <c r="AA534" s="12"/>
      <c r="AB534" s="12"/>
      <c r="AC534" s="13"/>
    </row>
    <row r="535" spans="1:29" ht="15.75" customHeight="1" x14ac:dyDescent="0.35">
      <c r="A535" s="15"/>
      <c r="B535" s="15"/>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30"/>
      <c r="AA535" s="12"/>
      <c r="AB535" s="12"/>
      <c r="AC535" s="13"/>
    </row>
    <row r="536" spans="1:29" ht="15.75" customHeight="1" x14ac:dyDescent="0.35">
      <c r="A536" s="15"/>
      <c r="B536" s="15"/>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30"/>
      <c r="AA536" s="12"/>
      <c r="AB536" s="12"/>
      <c r="AC536" s="13"/>
    </row>
    <row r="537" spans="1:29" ht="15.75" customHeight="1" x14ac:dyDescent="0.35">
      <c r="A537" s="15"/>
      <c r="B537" s="22"/>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30"/>
      <c r="AA537" s="12"/>
      <c r="AB537" s="12"/>
      <c r="AC537" s="13"/>
    </row>
    <row r="538" spans="1:29" ht="15.75" customHeight="1" x14ac:dyDescent="0.35">
      <c r="A538" s="22"/>
      <c r="B538" s="15"/>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30"/>
      <c r="AA538" s="12"/>
      <c r="AB538" s="12"/>
      <c r="AC538" s="13"/>
    </row>
    <row r="539" spans="1:29" ht="15.75" customHeight="1" x14ac:dyDescent="0.35">
      <c r="A539" s="15"/>
      <c r="B539" s="15"/>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30"/>
      <c r="AA539" s="12"/>
      <c r="AB539" s="12"/>
      <c r="AC539" s="13"/>
    </row>
    <row r="540" spans="1:29" ht="15.75" customHeight="1" x14ac:dyDescent="0.35">
      <c r="A540" s="15"/>
      <c r="B540" s="15"/>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30"/>
      <c r="AA540" s="12"/>
      <c r="AB540" s="12"/>
      <c r="AC540" s="13"/>
    </row>
    <row r="541" spans="1:29" ht="15.75" customHeight="1" x14ac:dyDescent="0.35">
      <c r="A541" s="15"/>
      <c r="B541" s="15"/>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0"/>
      <c r="AA541" s="14"/>
      <c r="AB541" s="14"/>
      <c r="AC541" s="13"/>
    </row>
    <row r="542" spans="1:29" ht="15.75" customHeight="1" x14ac:dyDescent="0.35">
      <c r="A542" s="15"/>
      <c r="B542" s="3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30"/>
      <c r="AA542" s="14"/>
      <c r="AB542" s="14"/>
      <c r="AC542" s="13"/>
    </row>
    <row r="543" spans="1:29" ht="15.75" customHeight="1" x14ac:dyDescent="0.35">
      <c r="A543" s="32"/>
      <c r="B543" s="22"/>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0"/>
      <c r="AA543" s="20"/>
      <c r="AB543" s="20"/>
      <c r="AC543" s="13"/>
    </row>
    <row r="544" spans="1:29" ht="15.75" customHeight="1" x14ac:dyDescent="0.35">
      <c r="A544" s="22"/>
      <c r="B544" s="15"/>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30"/>
      <c r="AA544" s="12"/>
      <c r="AB544" s="12"/>
      <c r="AC544" s="13"/>
    </row>
    <row r="545" spans="1:29" ht="15.75" customHeight="1" x14ac:dyDescent="0.35">
      <c r="A545" s="15"/>
      <c r="B545" s="15"/>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30"/>
      <c r="AA545" s="12"/>
      <c r="AB545" s="12"/>
      <c r="AC545" s="13"/>
    </row>
    <row r="546" spans="1:29" ht="15.75" customHeight="1" x14ac:dyDescent="0.35">
      <c r="A546" s="15"/>
      <c r="B546" s="15"/>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30"/>
      <c r="AA546" s="12"/>
      <c r="AB546" s="12"/>
      <c r="AC546" s="13"/>
    </row>
    <row r="547" spans="1:29" ht="15.75" customHeight="1" x14ac:dyDescent="0.35">
      <c r="A547" s="15"/>
      <c r="B547" s="22"/>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30"/>
      <c r="AA547" s="20"/>
      <c r="AB547" s="20"/>
      <c r="AC547" s="13"/>
    </row>
    <row r="548" spans="1:29" ht="15.75" customHeight="1" x14ac:dyDescent="0.35">
      <c r="A548" s="22"/>
      <c r="B548" s="15"/>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30"/>
      <c r="AA548" s="12"/>
      <c r="AB548" s="12"/>
      <c r="AC548" s="13"/>
    </row>
    <row r="549" spans="1:29" ht="15.75" customHeight="1" x14ac:dyDescent="0.35">
      <c r="A549" s="15"/>
      <c r="B549" s="15"/>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30"/>
      <c r="AA549" s="12"/>
      <c r="AB549" s="12"/>
      <c r="AC549" s="13"/>
    </row>
    <row r="550" spans="1:29" ht="15.75" customHeight="1" x14ac:dyDescent="0.35">
      <c r="A550" s="15"/>
      <c r="B550" s="15"/>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30"/>
      <c r="AA550" s="12"/>
      <c r="AB550" s="12"/>
      <c r="AC550" s="13"/>
    </row>
    <row r="551" spans="1:29" ht="15.75" customHeight="1" x14ac:dyDescent="0.35">
      <c r="A551" s="15"/>
      <c r="B551" s="22"/>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30"/>
      <c r="AA551" s="20"/>
      <c r="AB551" s="20"/>
      <c r="AC551" s="13"/>
    </row>
    <row r="552" spans="1:29" ht="15.75" customHeight="1" x14ac:dyDescent="0.35">
      <c r="A552" s="22"/>
      <c r="B552" s="15"/>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30"/>
      <c r="AA552" s="12"/>
      <c r="AB552" s="12"/>
      <c r="AC552" s="13"/>
    </row>
    <row r="553" spans="1:29" ht="15.75" customHeight="1" x14ac:dyDescent="0.35">
      <c r="A553" s="15"/>
      <c r="B553" s="15"/>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30"/>
      <c r="AA553" s="12"/>
      <c r="AB553" s="12"/>
      <c r="AC553" s="13"/>
    </row>
    <row r="554" spans="1:29" ht="15.75" customHeight="1" x14ac:dyDescent="0.35">
      <c r="A554" s="15"/>
      <c r="B554" s="15"/>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30"/>
      <c r="AA554" s="12"/>
      <c r="AB554" s="12"/>
      <c r="AC554" s="13"/>
    </row>
    <row r="555" spans="1:29" ht="15.75" customHeight="1" x14ac:dyDescent="0.35">
      <c r="A555" s="15"/>
      <c r="B555" s="22"/>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30"/>
      <c r="AA555" s="20"/>
      <c r="AB555" s="20"/>
      <c r="AC555" s="13"/>
    </row>
    <row r="556" spans="1:29" ht="15.75" customHeight="1" x14ac:dyDescent="0.35">
      <c r="A556" s="22"/>
      <c r="B556" s="15"/>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30"/>
      <c r="AA556" s="12"/>
      <c r="AB556" s="12"/>
      <c r="AC556" s="13"/>
    </row>
    <row r="557" spans="1:29" ht="15.75" customHeight="1" x14ac:dyDescent="0.35">
      <c r="A557" s="15"/>
      <c r="B557" s="15"/>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30"/>
      <c r="AA557" s="12"/>
      <c r="AB557" s="12"/>
      <c r="AC557" s="13"/>
    </row>
    <row r="558" spans="1:29" ht="15.75" customHeight="1" x14ac:dyDescent="0.35">
      <c r="A558" s="15"/>
      <c r="B558" s="15"/>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30"/>
      <c r="AA558" s="12"/>
      <c r="AB558" s="12"/>
      <c r="AC558" s="13"/>
    </row>
    <row r="559" spans="1:29" ht="15.75" customHeight="1" x14ac:dyDescent="0.35">
      <c r="A559" s="15"/>
      <c r="B559" s="22"/>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30"/>
      <c r="AA559" s="20"/>
      <c r="AB559" s="20"/>
      <c r="AC559" s="13"/>
    </row>
    <row r="560" spans="1:29" ht="15.75" customHeight="1" x14ac:dyDescent="0.35">
      <c r="A560" s="22"/>
      <c r="B560" s="15"/>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30"/>
      <c r="AA560" s="12"/>
      <c r="AB560" s="12"/>
      <c r="AC560" s="13"/>
    </row>
    <row r="561" spans="1:29" ht="15.75" customHeight="1" x14ac:dyDescent="0.35">
      <c r="A561" s="15"/>
      <c r="B561" s="15"/>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30"/>
      <c r="AA561" s="12"/>
      <c r="AB561" s="12"/>
      <c r="AC561" s="13"/>
    </row>
    <row r="562" spans="1:29" ht="15.75" customHeight="1" x14ac:dyDescent="0.35">
      <c r="A562" s="15"/>
      <c r="B562" s="15"/>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30"/>
      <c r="AA562" s="12"/>
      <c r="AB562" s="12"/>
      <c r="AC562" s="13"/>
    </row>
    <row r="563" spans="1:29" ht="15.75" customHeight="1" x14ac:dyDescent="0.35">
      <c r="A563" s="15"/>
      <c r="B563" s="22"/>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30"/>
      <c r="AA563" s="12"/>
      <c r="AB563" s="12"/>
      <c r="AC563" s="13"/>
    </row>
    <row r="564" spans="1:29" ht="15.75" customHeight="1" x14ac:dyDescent="0.35">
      <c r="A564" s="22"/>
      <c r="B564" s="15"/>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30"/>
      <c r="AA564" s="12"/>
      <c r="AB564" s="12"/>
      <c r="AC564" s="13"/>
    </row>
    <row r="565" spans="1:29" ht="15.75" customHeight="1" x14ac:dyDescent="0.35">
      <c r="A565" s="15"/>
      <c r="B565" s="15"/>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30"/>
      <c r="AA565" s="12"/>
      <c r="AB565" s="12"/>
      <c r="AC565" s="13"/>
    </row>
    <row r="566" spans="1:29" ht="15.75" customHeight="1" x14ac:dyDescent="0.35">
      <c r="A566" s="15"/>
      <c r="B566" s="15"/>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30"/>
      <c r="AA566" s="12"/>
      <c r="AB566" s="12"/>
      <c r="AC566" s="13"/>
    </row>
    <row r="567" spans="1:29" ht="20.25" customHeight="1" x14ac:dyDescent="0.35">
      <c r="A567" s="15"/>
      <c r="B567" s="22"/>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30"/>
      <c r="AA567" s="12"/>
      <c r="AB567" s="12"/>
      <c r="AC567" s="30"/>
    </row>
    <row r="568" spans="1:29" ht="20.25" customHeight="1" x14ac:dyDescent="0.35">
      <c r="A568" s="22"/>
      <c r="B568" s="15"/>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30"/>
      <c r="AA568" s="12"/>
      <c r="AB568" s="12"/>
      <c r="AC568" s="30"/>
    </row>
    <row r="569" spans="1:29" ht="20.25" customHeight="1" x14ac:dyDescent="0.35">
      <c r="A569" s="15"/>
      <c r="B569" s="15"/>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30"/>
      <c r="AA569" s="12"/>
      <c r="AB569" s="12"/>
      <c r="AC569" s="30"/>
    </row>
    <row r="570" spans="1:29" ht="20.25" customHeight="1" x14ac:dyDescent="0.35">
      <c r="A570" s="15"/>
      <c r="B570" s="15"/>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30"/>
      <c r="AA570" s="12"/>
      <c r="AB570" s="12"/>
      <c r="AC570" s="30"/>
    </row>
    <row r="571" spans="1:29" ht="20.25" customHeight="1" x14ac:dyDescent="0.35">
      <c r="A571" s="15"/>
      <c r="B571" s="2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30"/>
      <c r="AA571" s="12"/>
      <c r="AB571" s="12"/>
      <c r="AC571" s="30"/>
    </row>
    <row r="572" spans="1:29" ht="20.25" customHeight="1" x14ac:dyDescent="0.35">
      <c r="A572" s="22"/>
      <c r="B572" s="15"/>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30"/>
      <c r="AA572" s="12"/>
      <c r="AB572" s="12"/>
      <c r="AC572" s="30"/>
    </row>
    <row r="573" spans="1:29" ht="20.25" customHeight="1" x14ac:dyDescent="0.35">
      <c r="A573" s="15"/>
      <c r="B573" s="15"/>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30"/>
      <c r="AA573" s="12"/>
      <c r="AB573" s="12"/>
      <c r="AC573" s="30"/>
    </row>
    <row r="574" spans="1:29" ht="20.25" customHeight="1" x14ac:dyDescent="0.35">
      <c r="A574" s="15"/>
      <c r="B574" s="15"/>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30"/>
      <c r="AA574" s="12"/>
      <c r="AB574" s="12"/>
      <c r="AC574" s="30"/>
    </row>
    <row r="575" spans="1:29" ht="20.25" customHeight="1" x14ac:dyDescent="0.35">
      <c r="A575" s="15"/>
      <c r="B575" s="22"/>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row>
    <row r="576" spans="1:29" ht="20.25" customHeight="1" x14ac:dyDescent="0.35">
      <c r="A576" s="22"/>
      <c r="B576" s="15"/>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30"/>
      <c r="AA576" s="12"/>
      <c r="AB576" s="12"/>
      <c r="AC576" s="30"/>
    </row>
    <row r="577" spans="1:29" ht="20.25" customHeight="1" x14ac:dyDescent="0.35">
      <c r="A577" s="15"/>
      <c r="B577" s="15"/>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30"/>
      <c r="AA577" s="12"/>
      <c r="AB577" s="12"/>
      <c r="AC577" s="30"/>
    </row>
    <row r="578" spans="1:29" ht="20.25" customHeight="1" x14ac:dyDescent="0.35">
      <c r="A578" s="15"/>
      <c r="B578" s="15"/>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30"/>
      <c r="AA578" s="12"/>
      <c r="AB578" s="12"/>
      <c r="AC578" s="30"/>
    </row>
    <row r="579" spans="1:29" ht="20.25" customHeight="1" x14ac:dyDescent="0.35">
      <c r="A579" s="15"/>
      <c r="B579" s="22"/>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row>
    <row r="580" spans="1:29" ht="20.25" customHeight="1" x14ac:dyDescent="0.35">
      <c r="A580" s="22"/>
      <c r="B580" s="15"/>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30"/>
      <c r="AA580" s="12"/>
      <c r="AB580" s="12"/>
      <c r="AC580" s="30"/>
    </row>
    <row r="581" spans="1:29" ht="20.25" customHeight="1" x14ac:dyDescent="0.35">
      <c r="A581" s="15"/>
      <c r="B581" s="15"/>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30"/>
      <c r="AA581" s="12"/>
      <c r="AB581" s="12"/>
      <c r="AC581" s="30"/>
    </row>
    <row r="582" spans="1:29" ht="20.25" customHeight="1" x14ac:dyDescent="0.35">
      <c r="A582" s="15"/>
      <c r="B582" s="15"/>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AA582" s="34"/>
      <c r="AB582" s="34"/>
    </row>
    <row r="583" spans="1:29" ht="20.25" customHeight="1" x14ac:dyDescent="0.35">
      <c r="A583" s="15"/>
      <c r="B583" s="22"/>
    </row>
    <row r="584" spans="1:29" ht="20.25" customHeight="1" x14ac:dyDescent="0.35">
      <c r="A584" s="22"/>
      <c r="B584" s="15"/>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AA584" s="34"/>
      <c r="AB584" s="34"/>
    </row>
    <row r="585" spans="1:29" ht="20.25" customHeight="1" x14ac:dyDescent="0.35">
      <c r="A585" s="15"/>
      <c r="B585" s="15"/>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AA585" s="34"/>
      <c r="AB585" s="34"/>
    </row>
    <row r="586" spans="1:29" ht="20.25" customHeight="1" x14ac:dyDescent="0.35">
      <c r="A586" s="15"/>
      <c r="B586" s="15"/>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AA586" s="34"/>
      <c r="AB586" s="34"/>
    </row>
    <row r="587" spans="1:29" ht="20.25" customHeight="1" x14ac:dyDescent="0.35">
      <c r="A587" s="15"/>
      <c r="B587" s="22"/>
    </row>
    <row r="588" spans="1:29" ht="20.25" customHeight="1" x14ac:dyDescent="0.35">
      <c r="A588" s="22"/>
      <c r="B588" s="15"/>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AA588" s="34"/>
      <c r="AB588" s="34"/>
    </row>
    <row r="589" spans="1:29" ht="20.25" customHeight="1" x14ac:dyDescent="0.35">
      <c r="A589" s="15"/>
      <c r="B589" s="15"/>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AA589" s="34"/>
      <c r="AB589" s="34"/>
    </row>
    <row r="590" spans="1:29" ht="20.25" customHeight="1" x14ac:dyDescent="0.35">
      <c r="A590" s="15"/>
      <c r="B590" s="15"/>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AA590" s="34"/>
      <c r="AB590" s="34"/>
    </row>
    <row r="591" spans="1:29" ht="20.25" customHeight="1" x14ac:dyDescent="0.35">
      <c r="A591" s="15"/>
    </row>
    <row r="592" spans="1:29" ht="20.25" customHeight="1" x14ac:dyDescent="0.35"/>
    <row r="593" spans="3:28" ht="20.25" customHeight="1" x14ac:dyDescent="0.35">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AA593" s="34"/>
      <c r="AB593" s="34"/>
    </row>
    <row r="594" spans="3:28" ht="20.25" customHeight="1" x14ac:dyDescent="0.35">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AA594" s="34"/>
      <c r="AB594" s="34"/>
    </row>
    <row r="595" spans="3:28" ht="20.25" customHeight="1" x14ac:dyDescent="0.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AA595" s="35"/>
      <c r="AB595" s="35"/>
    </row>
    <row r="596" spans="3:28" ht="20.25" customHeight="1" x14ac:dyDescent="0.35"/>
    <row r="597" spans="3:28" ht="20.25" customHeight="1" x14ac:dyDescent="0.35">
      <c r="C597" s="34"/>
      <c r="D597" s="34"/>
      <c r="E597" s="34"/>
      <c r="F597" s="34"/>
      <c r="G597" s="34"/>
      <c r="H597" s="34"/>
      <c r="I597" s="34"/>
      <c r="J597" s="34"/>
      <c r="K597" s="34"/>
      <c r="L597" s="34"/>
      <c r="M597" s="34"/>
      <c r="N597" s="34"/>
      <c r="O597" s="34"/>
      <c r="P597" s="34"/>
      <c r="Q597" s="34"/>
      <c r="R597" s="34"/>
      <c r="S597" s="34"/>
      <c r="T597" s="34"/>
      <c r="U597" s="34"/>
      <c r="V597" s="34"/>
      <c r="W597" s="34"/>
      <c r="X597" s="34"/>
      <c r="Y597" s="34"/>
    </row>
    <row r="598" spans="3:28" ht="20.25" customHeight="1" x14ac:dyDescent="0.35">
      <c r="C598" s="34"/>
      <c r="D598" s="34"/>
      <c r="E598" s="34"/>
      <c r="F598" s="34"/>
      <c r="G598" s="34"/>
      <c r="H598" s="34"/>
      <c r="I598" s="34"/>
      <c r="J598" s="34"/>
      <c r="K598" s="34"/>
      <c r="L598" s="34"/>
      <c r="M598" s="34"/>
      <c r="N598" s="34"/>
      <c r="O598" s="34"/>
      <c r="P598" s="34"/>
      <c r="Q598" s="34"/>
      <c r="R598" s="34"/>
      <c r="S598" s="34"/>
      <c r="T598" s="34"/>
      <c r="U598" s="34"/>
      <c r="V598" s="34"/>
      <c r="W598" s="34"/>
      <c r="X598" s="34"/>
      <c r="Y598" s="34"/>
    </row>
    <row r="599" spans="3:28" ht="20.25" customHeight="1" x14ac:dyDescent="0.35">
      <c r="C599" s="34"/>
      <c r="D599" s="34"/>
      <c r="E599" s="34"/>
      <c r="F599" s="34"/>
      <c r="G599" s="34"/>
      <c r="H599" s="34"/>
      <c r="I599" s="34"/>
      <c r="J599" s="34"/>
      <c r="K599" s="34"/>
      <c r="L599" s="34"/>
      <c r="M599" s="34"/>
      <c r="N599" s="34"/>
      <c r="O599" s="34"/>
      <c r="P599" s="34"/>
      <c r="Q599" s="34"/>
      <c r="R599" s="34"/>
      <c r="S599" s="34"/>
      <c r="T599" s="34"/>
      <c r="U599" s="34"/>
      <c r="V599" s="34"/>
      <c r="W599" s="34"/>
      <c r="X599" s="34"/>
      <c r="Y599" s="34"/>
    </row>
    <row r="600" spans="3:28" ht="20.25" customHeight="1" x14ac:dyDescent="0.35"/>
    <row r="601" spans="3:28" ht="20.25" customHeight="1" x14ac:dyDescent="0.35">
      <c r="C601" s="34"/>
      <c r="D601" s="34"/>
      <c r="E601" s="34"/>
      <c r="F601" s="34"/>
      <c r="G601" s="34"/>
      <c r="H601" s="34"/>
      <c r="I601" s="34"/>
      <c r="J601" s="34"/>
      <c r="K601" s="34"/>
      <c r="L601" s="34"/>
      <c r="M601" s="34"/>
      <c r="N601" s="34"/>
      <c r="O601" s="34"/>
      <c r="P601" s="34"/>
      <c r="Q601" s="34"/>
      <c r="R601" s="34"/>
      <c r="S601" s="34"/>
      <c r="T601" s="34"/>
      <c r="U601" s="34"/>
      <c r="V601" s="34"/>
      <c r="W601" s="34"/>
      <c r="X601" s="34"/>
      <c r="Y601" s="34"/>
    </row>
    <row r="602" spans="3:28" ht="20.25" customHeight="1" x14ac:dyDescent="0.35">
      <c r="C602" s="34"/>
      <c r="D602" s="34"/>
      <c r="E602" s="34"/>
      <c r="F602" s="34"/>
      <c r="G602" s="34"/>
      <c r="H602" s="34"/>
      <c r="I602" s="34"/>
      <c r="J602" s="34"/>
      <c r="K602" s="34"/>
      <c r="L602" s="34"/>
      <c r="M602" s="34"/>
      <c r="N602" s="34"/>
      <c r="O602" s="34"/>
      <c r="P602" s="34"/>
      <c r="Q602" s="34"/>
      <c r="R602" s="34"/>
      <c r="S602" s="34"/>
      <c r="T602" s="34"/>
      <c r="U602" s="34"/>
      <c r="V602" s="34"/>
      <c r="W602" s="34"/>
      <c r="X602" s="34"/>
      <c r="Y602" s="34"/>
    </row>
    <row r="603" spans="3:28" ht="20.25" customHeight="1" x14ac:dyDescent="0.35">
      <c r="C603" s="34"/>
      <c r="D603" s="34"/>
      <c r="E603" s="34"/>
      <c r="F603" s="34"/>
      <c r="G603" s="34"/>
      <c r="H603" s="34"/>
      <c r="I603" s="34"/>
      <c r="J603" s="34"/>
      <c r="K603" s="34"/>
      <c r="L603" s="34"/>
      <c r="M603" s="34"/>
      <c r="N603" s="34"/>
      <c r="O603" s="34"/>
      <c r="P603" s="34"/>
      <c r="Q603" s="34"/>
      <c r="R603" s="34"/>
      <c r="S603" s="34"/>
      <c r="T603" s="34"/>
      <c r="U603" s="34"/>
      <c r="V603" s="34"/>
      <c r="W603" s="34"/>
      <c r="X603" s="34"/>
      <c r="Y603" s="34"/>
    </row>
    <row r="604" spans="3:28" ht="20.25" customHeight="1" x14ac:dyDescent="0.35"/>
    <row r="605" spans="3:28" ht="20.25" customHeight="1" x14ac:dyDescent="0.35">
      <c r="C605" s="34"/>
      <c r="D605" s="34"/>
      <c r="E605" s="34"/>
      <c r="F605" s="34"/>
      <c r="G605" s="34"/>
      <c r="H605" s="34"/>
      <c r="I605" s="34"/>
      <c r="J605" s="34"/>
      <c r="K605" s="34"/>
      <c r="L605" s="34"/>
      <c r="M605" s="34"/>
      <c r="N605" s="34"/>
      <c r="O605" s="34"/>
      <c r="P605" s="34"/>
      <c r="Q605" s="34"/>
      <c r="R605" s="34"/>
      <c r="S605" s="34"/>
      <c r="T605" s="34"/>
      <c r="U605" s="34"/>
      <c r="V605" s="34"/>
      <c r="W605" s="34"/>
      <c r="X605" s="34"/>
      <c r="Y605" s="34"/>
    </row>
    <row r="606" spans="3:28" ht="20.25" customHeight="1" x14ac:dyDescent="0.35">
      <c r="C606" s="34"/>
      <c r="D606" s="34"/>
      <c r="E606" s="34"/>
      <c r="F606" s="34"/>
      <c r="G606" s="34"/>
      <c r="H606" s="34"/>
      <c r="I606" s="34"/>
      <c r="J606" s="34"/>
      <c r="K606" s="34"/>
      <c r="L606" s="34"/>
      <c r="M606" s="34"/>
      <c r="N606" s="34"/>
      <c r="O606" s="34"/>
      <c r="P606" s="34"/>
      <c r="Q606" s="34"/>
      <c r="R606" s="34"/>
      <c r="S606" s="34"/>
      <c r="T606" s="34"/>
      <c r="U606" s="34"/>
      <c r="V606" s="34"/>
      <c r="W606" s="34"/>
      <c r="X606" s="34"/>
      <c r="Y606" s="34"/>
    </row>
    <row r="607" spans="3:28" ht="20.25" customHeight="1" x14ac:dyDescent="0.35">
      <c r="C607" s="34"/>
      <c r="D607" s="34"/>
      <c r="E607" s="34"/>
      <c r="F607" s="34"/>
      <c r="G607" s="34"/>
      <c r="H607" s="34"/>
      <c r="I607" s="34"/>
      <c r="J607" s="34"/>
      <c r="K607" s="34"/>
      <c r="L607" s="34"/>
      <c r="M607" s="34"/>
      <c r="N607" s="34"/>
      <c r="O607" s="34"/>
      <c r="P607" s="34"/>
      <c r="Q607" s="34"/>
      <c r="R607" s="34"/>
      <c r="S607" s="34"/>
      <c r="T607" s="34"/>
      <c r="U607" s="34"/>
      <c r="V607" s="34"/>
      <c r="W607" s="34"/>
      <c r="X607" s="34"/>
      <c r="Y607" s="34"/>
    </row>
    <row r="608" spans="3:28" ht="20.25" customHeight="1" x14ac:dyDescent="0.35"/>
    <row r="609" spans="3:25" ht="20.25" customHeight="1" x14ac:dyDescent="0.35">
      <c r="C609" s="34"/>
      <c r="D609" s="34"/>
      <c r="E609" s="34"/>
      <c r="F609" s="34"/>
      <c r="G609" s="34"/>
      <c r="H609" s="34"/>
      <c r="I609" s="34"/>
      <c r="J609" s="34"/>
      <c r="K609" s="34"/>
      <c r="L609" s="34"/>
      <c r="M609" s="34"/>
      <c r="N609" s="34"/>
      <c r="O609" s="34"/>
      <c r="P609" s="34"/>
      <c r="Q609" s="34"/>
      <c r="R609" s="34"/>
      <c r="S609" s="34"/>
      <c r="T609" s="34"/>
      <c r="U609" s="34"/>
      <c r="V609" s="34"/>
      <c r="W609" s="34"/>
      <c r="X609" s="34"/>
      <c r="Y609" s="34"/>
    </row>
    <row r="610" spans="3:25" ht="20.25" customHeight="1" x14ac:dyDescent="0.35">
      <c r="C610" s="34"/>
      <c r="D610" s="34"/>
      <c r="E610" s="34"/>
      <c r="F610" s="34"/>
      <c r="G610" s="34"/>
      <c r="H610" s="34"/>
      <c r="I610" s="34"/>
      <c r="J610" s="34"/>
      <c r="K610" s="34"/>
      <c r="L610" s="34"/>
      <c r="M610" s="34"/>
      <c r="N610" s="34"/>
      <c r="O610" s="34"/>
      <c r="P610" s="34"/>
      <c r="Q610" s="34"/>
      <c r="R610" s="34"/>
      <c r="S610" s="34"/>
      <c r="T610" s="34"/>
      <c r="U610" s="34"/>
      <c r="V610" s="34"/>
      <c r="W610" s="34"/>
      <c r="X610" s="34"/>
      <c r="Y610" s="34"/>
    </row>
    <row r="611" spans="3:25" ht="20.25" customHeight="1" x14ac:dyDescent="0.35">
      <c r="C611" s="34"/>
      <c r="D611" s="34"/>
      <c r="E611" s="34"/>
      <c r="F611" s="34"/>
      <c r="G611" s="34"/>
      <c r="H611" s="34"/>
      <c r="I611" s="34"/>
      <c r="J611" s="34"/>
      <c r="K611" s="34"/>
      <c r="L611" s="34"/>
      <c r="M611" s="34"/>
      <c r="N611" s="34"/>
      <c r="O611" s="34"/>
      <c r="P611" s="34"/>
      <c r="Q611" s="34"/>
      <c r="R611" s="34"/>
      <c r="S611" s="34"/>
      <c r="T611" s="34"/>
      <c r="U611" s="34"/>
      <c r="V611" s="34"/>
      <c r="W611" s="34"/>
      <c r="X611" s="34"/>
      <c r="Y611" s="34"/>
    </row>
    <row r="612" spans="3:25" ht="20.25" customHeight="1" x14ac:dyDescent="0.35"/>
    <row r="613" spans="3:25" ht="20.25" customHeight="1" x14ac:dyDescent="0.35"/>
    <row r="614" spans="3:25" ht="20.25" customHeight="1" x14ac:dyDescent="0.35"/>
    <row r="615" spans="3:25" ht="20.25" customHeight="1" x14ac:dyDescent="0.35"/>
    <row r="616" spans="3:25" ht="20.25" customHeight="1" x14ac:dyDescent="0.35"/>
    <row r="617" spans="3:25" ht="20.25" customHeight="1" x14ac:dyDescent="0.35"/>
    <row r="618" spans="3:25" ht="20.25" customHeight="1" x14ac:dyDescent="0.35"/>
    <row r="619" spans="3:25" ht="20.25" customHeight="1" x14ac:dyDescent="0.35"/>
    <row r="620" spans="3:25" ht="20.25" customHeight="1" x14ac:dyDescent="0.35"/>
    <row r="621" spans="3:25" ht="20.25" customHeight="1" x14ac:dyDescent="0.35"/>
    <row r="622" spans="3:25" ht="20.25" customHeight="1" x14ac:dyDescent="0.35"/>
    <row r="623" spans="3:25" ht="20.25" customHeight="1" x14ac:dyDescent="0.35"/>
    <row r="624" spans="3:25" ht="20.25" customHeight="1" x14ac:dyDescent="0.35"/>
    <row r="625" ht="20.25" customHeight="1" x14ac:dyDescent="0.35"/>
    <row r="626" ht="20.25" customHeight="1" x14ac:dyDescent="0.35"/>
    <row r="627" ht="20.25" customHeight="1" x14ac:dyDescent="0.35"/>
    <row r="628" ht="20.25" customHeight="1" x14ac:dyDescent="0.35"/>
    <row r="629" ht="20.25" customHeight="1" x14ac:dyDescent="0.35"/>
    <row r="630" ht="20.25" customHeight="1" x14ac:dyDescent="0.35"/>
    <row r="631" ht="20.25" customHeight="1" x14ac:dyDescent="0.35"/>
    <row r="632" ht="20.25" customHeight="1" x14ac:dyDescent="0.35"/>
    <row r="633" ht="20.25" customHeight="1" x14ac:dyDescent="0.35"/>
    <row r="634" ht="20.25" customHeight="1" x14ac:dyDescent="0.35"/>
  </sheetData>
  <mergeCells count="2">
    <mergeCell ref="A1:AA2"/>
    <mergeCell ref="A3:AA3"/>
  </mergeCells>
  <pageMargins left="0.25" right="0.25" top="0.25" bottom="0.25" header="0.3" footer="0.3"/>
  <pageSetup scale="42" orientation="landscape" r:id="rId1"/>
  <headerFooter alignWithMargins="0"/>
  <rowBreaks count="5" manualBreakCount="5">
    <brk id="70" max="27" man="1"/>
    <brk id="136" max="27" man="1"/>
    <brk id="202" max="27" man="1"/>
    <brk id="268" max="27" man="1"/>
    <brk id="31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CC24A-D514-4821-8174-033115C28143}">
  <sheetPr>
    <pageSetUpPr fitToPage="1"/>
  </sheetPr>
  <dimension ref="A1:U58"/>
  <sheetViews>
    <sheetView view="pageBreakPreview" zoomScale="60" zoomScaleNormal="100" workbookViewId="0">
      <selection activeCell="Y140" sqref="Y140"/>
    </sheetView>
  </sheetViews>
  <sheetFormatPr defaultRowHeight="14.5" x14ac:dyDescent="0.35"/>
  <cols>
    <col min="1" max="1" width="47.54296875" customWidth="1"/>
    <col min="11" max="11" width="12" bestFit="1" customWidth="1"/>
    <col min="13" max="13" width="16.26953125" customWidth="1"/>
    <col min="15" max="15" width="16" customWidth="1"/>
    <col min="21" max="21" width="11.6328125" bestFit="1" customWidth="1"/>
    <col min="26" max="26" width="16.26953125" customWidth="1"/>
  </cols>
  <sheetData>
    <row r="1" spans="1:18" ht="18.5" x14ac:dyDescent="0.45">
      <c r="A1" s="36" t="s">
        <v>17</v>
      </c>
    </row>
    <row r="2" spans="1:18" ht="138.75" customHeight="1" x14ac:dyDescent="0.35">
      <c r="A2" s="57" t="s">
        <v>18</v>
      </c>
      <c r="B2" s="57"/>
      <c r="C2" s="57"/>
      <c r="D2" s="57"/>
      <c r="E2" s="57"/>
      <c r="F2" s="57"/>
    </row>
    <row r="7" spans="1:18" x14ac:dyDescent="0.35">
      <c r="C7" s="37"/>
      <c r="D7" s="37"/>
      <c r="E7" s="37"/>
      <c r="F7" s="37"/>
      <c r="G7" s="37"/>
      <c r="H7" s="37"/>
      <c r="I7" s="37"/>
      <c r="J7" s="37"/>
      <c r="K7" s="37"/>
      <c r="L7" s="37"/>
      <c r="M7" s="37"/>
      <c r="N7" s="37"/>
      <c r="O7" s="37"/>
      <c r="P7" s="37"/>
      <c r="Q7" s="37"/>
      <c r="R7" s="37"/>
    </row>
    <row r="8" spans="1:18" x14ac:dyDescent="0.35">
      <c r="C8" s="37"/>
      <c r="D8" s="37"/>
      <c r="E8" s="37"/>
      <c r="F8" s="37"/>
      <c r="G8" s="37"/>
      <c r="H8" s="37"/>
      <c r="I8" s="37"/>
      <c r="J8" s="37"/>
      <c r="K8" s="37"/>
      <c r="L8" s="37"/>
      <c r="M8" s="37"/>
      <c r="N8" s="37"/>
      <c r="O8" s="37"/>
      <c r="P8" s="37"/>
      <c r="Q8" s="37"/>
      <c r="R8" s="37"/>
    </row>
    <row r="9" spans="1:18" x14ac:dyDescent="0.35">
      <c r="C9" s="37"/>
      <c r="D9" s="37"/>
      <c r="E9" s="37"/>
      <c r="F9" s="37"/>
      <c r="G9" s="37"/>
      <c r="H9" s="37"/>
      <c r="I9" s="37"/>
      <c r="J9" s="37"/>
      <c r="K9" s="37"/>
      <c r="L9" s="37"/>
      <c r="M9" s="37"/>
      <c r="N9" s="37"/>
      <c r="O9" s="37"/>
      <c r="P9" s="37"/>
      <c r="Q9" s="37"/>
      <c r="R9" s="37"/>
    </row>
    <row r="10" spans="1:18" x14ac:dyDescent="0.35">
      <c r="C10" s="37"/>
      <c r="D10" s="37"/>
      <c r="E10" s="37"/>
      <c r="F10" s="37"/>
      <c r="G10" s="37"/>
      <c r="H10" s="37"/>
      <c r="I10" s="37"/>
      <c r="J10" s="37"/>
      <c r="K10" s="37"/>
      <c r="L10" s="37"/>
      <c r="M10" s="37"/>
      <c r="N10" s="37"/>
      <c r="O10" s="37"/>
      <c r="P10" s="37"/>
      <c r="Q10" s="37"/>
      <c r="R10" s="37"/>
    </row>
    <row r="11" spans="1:18" x14ac:dyDescent="0.35">
      <c r="C11" s="37"/>
      <c r="D11" s="37"/>
      <c r="E11" s="37"/>
      <c r="F11" s="37"/>
      <c r="G11" s="37"/>
      <c r="H11" s="37"/>
      <c r="I11" s="37"/>
      <c r="J11" s="37"/>
      <c r="K11" s="37"/>
      <c r="L11" s="37"/>
      <c r="M11" s="37"/>
      <c r="N11" s="37"/>
      <c r="O11" s="37"/>
      <c r="P11" s="37"/>
      <c r="Q11" s="37"/>
      <c r="R11" s="37"/>
    </row>
    <row r="12" spans="1:18" x14ac:dyDescent="0.35">
      <c r="C12" s="37"/>
      <c r="D12" s="37"/>
      <c r="E12" s="37"/>
      <c r="F12" s="37"/>
      <c r="G12" s="37"/>
      <c r="H12" s="37"/>
      <c r="I12" s="37"/>
      <c r="J12" s="37"/>
      <c r="K12" s="37"/>
      <c r="L12" s="37"/>
      <c r="M12" s="37"/>
      <c r="N12" s="37"/>
      <c r="O12" s="37"/>
      <c r="P12" s="37"/>
      <c r="Q12" s="37"/>
      <c r="R12" s="37"/>
    </row>
    <row r="13" spans="1:18" x14ac:dyDescent="0.35">
      <c r="C13" s="37"/>
      <c r="D13" s="37"/>
      <c r="E13" s="37"/>
      <c r="F13" s="37"/>
      <c r="G13" s="37"/>
      <c r="H13" s="37"/>
      <c r="I13" s="37"/>
      <c r="J13" s="37"/>
      <c r="K13" s="37"/>
      <c r="L13" s="37"/>
      <c r="M13" s="37"/>
      <c r="N13" s="37"/>
      <c r="O13" s="37"/>
      <c r="P13" s="37"/>
      <c r="Q13" s="37"/>
      <c r="R13" s="37"/>
    </row>
    <row r="14" spans="1:18" x14ac:dyDescent="0.35">
      <c r="C14" s="37"/>
      <c r="D14" s="37"/>
      <c r="E14" s="37"/>
      <c r="F14" s="37"/>
      <c r="G14" s="37"/>
      <c r="H14" s="37"/>
      <c r="I14" s="37"/>
      <c r="J14" s="37"/>
      <c r="K14" s="37"/>
      <c r="L14" s="37"/>
      <c r="M14" s="37"/>
      <c r="N14" s="37"/>
      <c r="O14" s="37"/>
      <c r="P14" s="37"/>
      <c r="Q14" s="37"/>
      <c r="R14" s="37"/>
    </row>
    <row r="15" spans="1:18" x14ac:dyDescent="0.35">
      <c r="C15" s="37"/>
      <c r="D15" s="37"/>
      <c r="E15" s="37"/>
      <c r="F15" s="37"/>
      <c r="G15" s="37"/>
      <c r="H15" s="37"/>
      <c r="I15" s="37"/>
      <c r="J15" s="37"/>
      <c r="K15" s="37"/>
      <c r="L15" s="37"/>
      <c r="M15" s="37"/>
      <c r="N15" s="37"/>
      <c r="O15" s="37"/>
      <c r="P15" s="37"/>
      <c r="Q15" s="37"/>
      <c r="R15" s="37"/>
    </row>
    <row r="16" spans="1:18" x14ac:dyDescent="0.35">
      <c r="C16" s="37"/>
      <c r="D16" s="37"/>
      <c r="E16" s="37"/>
      <c r="F16" s="37"/>
      <c r="G16" s="37"/>
      <c r="H16" s="37"/>
      <c r="I16" s="37"/>
      <c r="J16" s="37"/>
      <c r="K16" s="37"/>
      <c r="L16" s="37"/>
      <c r="M16" s="37"/>
      <c r="N16" s="37"/>
      <c r="O16" s="37"/>
      <c r="P16" s="37"/>
      <c r="Q16" s="37"/>
      <c r="R16" s="37"/>
    </row>
    <row r="17" spans="3:18" x14ac:dyDescent="0.35">
      <c r="C17" s="37"/>
      <c r="D17" s="37"/>
      <c r="E17" s="37"/>
      <c r="F17" s="37"/>
      <c r="G17" s="37"/>
      <c r="H17" s="37"/>
      <c r="I17" s="37"/>
      <c r="J17" s="37"/>
      <c r="K17" s="37"/>
      <c r="L17" s="37"/>
      <c r="M17" s="37"/>
      <c r="N17" s="37"/>
      <c r="O17" s="37"/>
      <c r="P17" s="37"/>
      <c r="Q17" s="37"/>
      <c r="R17" s="37"/>
    </row>
    <row r="18" spans="3:18" x14ac:dyDescent="0.35">
      <c r="C18" s="37"/>
      <c r="D18" s="37"/>
      <c r="E18" s="37"/>
      <c r="F18" s="37"/>
      <c r="G18" s="37"/>
      <c r="H18" s="37"/>
      <c r="I18" s="37"/>
      <c r="J18" s="37"/>
      <c r="K18" s="37"/>
      <c r="L18" s="37"/>
      <c r="M18" s="37"/>
      <c r="N18" s="37"/>
      <c r="O18" s="37"/>
      <c r="P18" s="37"/>
      <c r="Q18" s="37"/>
      <c r="R18" s="37"/>
    </row>
    <row r="19" spans="3:18" x14ac:dyDescent="0.35">
      <c r="C19" s="37"/>
      <c r="D19" s="37"/>
      <c r="E19" s="37"/>
      <c r="F19" s="37"/>
      <c r="G19" s="37"/>
      <c r="H19" s="37"/>
      <c r="I19" s="37"/>
      <c r="J19" s="37"/>
      <c r="K19" s="37"/>
      <c r="L19" s="37"/>
      <c r="M19" s="37"/>
      <c r="N19" s="37"/>
      <c r="O19" s="37"/>
      <c r="P19" s="37"/>
      <c r="Q19" s="37"/>
      <c r="R19" s="37"/>
    </row>
    <row r="20" spans="3:18" x14ac:dyDescent="0.35">
      <c r="C20" s="37"/>
      <c r="D20" s="37"/>
      <c r="E20" s="37"/>
      <c r="F20" s="37"/>
      <c r="G20" s="37"/>
      <c r="H20" s="37"/>
      <c r="I20" s="37"/>
      <c r="J20" s="37"/>
      <c r="K20" s="37"/>
      <c r="L20" s="37"/>
      <c r="M20" s="37"/>
      <c r="N20" s="37"/>
      <c r="O20" s="37"/>
      <c r="P20" s="37"/>
      <c r="Q20" s="37"/>
      <c r="R20" s="37"/>
    </row>
    <row r="21" spans="3:18" x14ac:dyDescent="0.35">
      <c r="C21" s="37"/>
      <c r="D21" s="37"/>
      <c r="E21" s="37"/>
      <c r="F21" s="37"/>
      <c r="G21" s="37"/>
      <c r="H21" s="37"/>
      <c r="I21" s="37"/>
      <c r="J21" s="37"/>
      <c r="K21" s="37"/>
      <c r="L21" s="37"/>
      <c r="M21" s="37"/>
      <c r="N21" s="37"/>
      <c r="O21" s="37"/>
      <c r="P21" s="37"/>
      <c r="Q21" s="37"/>
      <c r="R21" s="37"/>
    </row>
    <row r="22" spans="3:18" x14ac:dyDescent="0.35">
      <c r="C22" s="37"/>
      <c r="D22" s="37"/>
      <c r="E22" s="37"/>
      <c r="F22" s="37"/>
      <c r="G22" s="37"/>
      <c r="H22" s="37"/>
      <c r="I22" s="37"/>
      <c r="J22" s="37"/>
      <c r="K22" s="37"/>
      <c r="L22" s="37"/>
      <c r="M22" s="37"/>
      <c r="N22" s="37"/>
      <c r="O22" s="37"/>
      <c r="P22" s="37"/>
      <c r="Q22" s="37"/>
      <c r="R22" s="37"/>
    </row>
    <row r="23" spans="3:18" x14ac:dyDescent="0.35">
      <c r="C23" s="37"/>
      <c r="D23" s="37"/>
      <c r="E23" s="37"/>
      <c r="F23" s="37"/>
      <c r="G23" s="37"/>
      <c r="H23" s="37"/>
      <c r="I23" s="37"/>
      <c r="J23" s="37"/>
      <c r="K23" s="37"/>
      <c r="L23" s="37"/>
      <c r="M23" s="37"/>
      <c r="N23" s="37"/>
      <c r="O23" s="37"/>
      <c r="P23" s="37"/>
      <c r="Q23" s="37"/>
      <c r="R23" s="37"/>
    </row>
    <row r="24" spans="3:18" x14ac:dyDescent="0.35">
      <c r="C24" s="37"/>
      <c r="D24" s="37"/>
      <c r="E24" s="37"/>
      <c r="F24" s="37"/>
      <c r="G24" s="37"/>
      <c r="H24" s="37"/>
      <c r="I24" s="37"/>
      <c r="J24" s="37"/>
      <c r="K24" s="37"/>
      <c r="L24" s="37"/>
      <c r="M24" s="37"/>
      <c r="N24" s="37"/>
      <c r="O24" s="37"/>
      <c r="P24" s="37"/>
      <c r="Q24" s="37"/>
      <c r="R24" s="37"/>
    </row>
    <row r="25" spans="3:18" x14ac:dyDescent="0.35">
      <c r="C25" s="37"/>
      <c r="D25" s="37"/>
      <c r="E25" s="37"/>
      <c r="F25" s="37"/>
      <c r="G25" s="37"/>
      <c r="H25" s="37"/>
      <c r="I25" s="37"/>
      <c r="J25" s="37"/>
      <c r="K25" s="37"/>
      <c r="L25" s="37"/>
      <c r="M25" s="37"/>
      <c r="N25" s="37"/>
      <c r="O25" s="37"/>
      <c r="P25" s="37"/>
      <c r="Q25" s="37"/>
      <c r="R25" s="37"/>
    </row>
    <row r="26" spans="3:18" x14ac:dyDescent="0.35">
      <c r="C26" s="37"/>
      <c r="D26" s="37"/>
      <c r="E26" s="37"/>
      <c r="F26" s="37"/>
      <c r="G26" s="37"/>
      <c r="H26" s="37"/>
      <c r="I26" s="37"/>
      <c r="J26" s="37"/>
      <c r="K26" s="37"/>
      <c r="L26" s="37"/>
      <c r="M26" s="37"/>
      <c r="N26" s="37"/>
      <c r="O26" s="37"/>
      <c r="P26" s="37"/>
      <c r="Q26" s="37"/>
      <c r="R26" s="37"/>
    </row>
    <row r="27" spans="3:18" x14ac:dyDescent="0.35">
      <c r="C27" s="37"/>
      <c r="D27" s="37"/>
      <c r="E27" s="37"/>
      <c r="F27" s="37"/>
      <c r="G27" s="37"/>
      <c r="H27" s="37"/>
      <c r="I27" s="37"/>
      <c r="J27" s="37"/>
      <c r="K27" s="37"/>
      <c r="L27" s="37"/>
      <c r="M27" s="37"/>
      <c r="N27" s="37"/>
      <c r="O27" s="37"/>
      <c r="P27" s="37"/>
      <c r="Q27" s="37"/>
      <c r="R27" s="37"/>
    </row>
    <row r="28" spans="3:18" x14ac:dyDescent="0.35">
      <c r="C28" s="37"/>
      <c r="D28" s="37"/>
      <c r="E28" s="37"/>
      <c r="F28" s="37"/>
      <c r="G28" s="37"/>
      <c r="H28" s="37"/>
      <c r="I28" s="37"/>
      <c r="J28" s="37"/>
      <c r="K28" s="37"/>
      <c r="L28" s="37"/>
      <c r="M28" s="37"/>
      <c r="N28" s="37"/>
      <c r="O28" s="37"/>
      <c r="P28" s="37"/>
      <c r="Q28" s="37"/>
      <c r="R28" s="37"/>
    </row>
    <row r="29" spans="3:18" x14ac:dyDescent="0.35">
      <c r="C29" s="37"/>
      <c r="D29" s="37"/>
      <c r="E29" s="37"/>
      <c r="F29" s="37"/>
      <c r="G29" s="37"/>
      <c r="H29" s="37"/>
      <c r="I29" s="37"/>
      <c r="J29" s="37"/>
      <c r="K29" s="37"/>
      <c r="L29" s="37"/>
      <c r="M29" s="37"/>
      <c r="N29" s="37"/>
      <c r="O29" s="37"/>
      <c r="P29" s="37"/>
      <c r="Q29" s="37"/>
      <c r="R29" s="37"/>
    </row>
    <row r="30" spans="3:18" x14ac:dyDescent="0.35">
      <c r="C30" s="37"/>
      <c r="D30" s="37"/>
      <c r="E30" s="37"/>
      <c r="F30" s="37"/>
      <c r="G30" s="37"/>
      <c r="H30" s="37"/>
      <c r="I30" s="37"/>
      <c r="J30" s="37"/>
      <c r="K30" s="37"/>
      <c r="L30" s="37"/>
      <c r="M30" s="37"/>
      <c r="N30" s="37"/>
      <c r="O30" s="37"/>
      <c r="P30" s="37"/>
      <c r="Q30" s="37"/>
      <c r="R30" s="37"/>
    </row>
    <row r="31" spans="3:18" x14ac:dyDescent="0.35">
      <c r="C31" s="37"/>
      <c r="D31" s="37"/>
      <c r="E31" s="37"/>
      <c r="F31" s="37"/>
      <c r="G31" s="37"/>
      <c r="H31" s="37"/>
      <c r="I31" s="37"/>
      <c r="J31" s="37"/>
      <c r="K31" s="37"/>
      <c r="L31" s="37"/>
      <c r="M31" s="37"/>
      <c r="N31" s="37"/>
      <c r="O31" s="37"/>
      <c r="P31" s="37"/>
      <c r="Q31" s="37"/>
      <c r="R31" s="37"/>
    </row>
    <row r="32" spans="3:18" x14ac:dyDescent="0.35">
      <c r="C32" s="37"/>
      <c r="D32" s="37"/>
      <c r="E32" s="37"/>
      <c r="F32" s="37"/>
      <c r="G32" s="37"/>
      <c r="H32" s="37"/>
      <c r="I32" s="37"/>
      <c r="J32" s="37"/>
      <c r="K32" s="37"/>
      <c r="L32" s="37"/>
      <c r="M32" s="37"/>
      <c r="N32" s="37"/>
      <c r="O32" s="37"/>
      <c r="P32" s="37"/>
      <c r="Q32" s="37"/>
      <c r="R32" s="37"/>
    </row>
    <row r="33" spans="3:21" x14ac:dyDescent="0.35">
      <c r="C33" s="37"/>
      <c r="D33" s="37"/>
      <c r="E33" s="37"/>
      <c r="F33" s="37"/>
      <c r="G33" s="37"/>
      <c r="H33" s="37"/>
      <c r="I33" s="37"/>
      <c r="J33" s="37"/>
      <c r="K33" s="37"/>
      <c r="L33" s="37"/>
      <c r="M33" s="37"/>
      <c r="N33" s="37"/>
      <c r="O33" s="37"/>
      <c r="P33" s="37"/>
      <c r="Q33" s="37"/>
      <c r="R33" s="37"/>
    </row>
    <row r="34" spans="3:21" x14ac:dyDescent="0.35">
      <c r="C34" s="37"/>
      <c r="D34" s="37"/>
      <c r="E34" s="37"/>
      <c r="F34" s="37"/>
      <c r="G34" s="37"/>
      <c r="H34" s="37"/>
      <c r="I34" s="37"/>
      <c r="J34" s="37"/>
      <c r="K34" s="37"/>
      <c r="L34" s="37"/>
      <c r="M34" s="37"/>
      <c r="N34" s="37"/>
      <c r="O34" s="37"/>
      <c r="P34" s="37"/>
      <c r="Q34" s="37"/>
      <c r="R34" s="37"/>
    </row>
    <row r="35" spans="3:21" x14ac:dyDescent="0.35">
      <c r="C35" s="37"/>
      <c r="D35" s="37"/>
      <c r="E35" s="37"/>
      <c r="F35" s="37"/>
      <c r="G35" s="37"/>
      <c r="H35" s="37"/>
      <c r="I35" s="37"/>
      <c r="J35" s="37"/>
      <c r="K35" s="37"/>
      <c r="L35" s="37"/>
      <c r="M35" s="37"/>
      <c r="N35" s="37"/>
      <c r="O35" s="37"/>
      <c r="P35" s="37"/>
      <c r="Q35" s="37"/>
      <c r="R35" s="37"/>
    </row>
    <row r="36" spans="3:21" x14ac:dyDescent="0.35">
      <c r="C36" s="37"/>
      <c r="D36" s="37"/>
      <c r="E36" s="37"/>
      <c r="F36" s="37"/>
      <c r="G36" s="37"/>
      <c r="H36" s="37"/>
      <c r="I36" s="37"/>
      <c r="J36" s="37"/>
      <c r="K36" s="37"/>
      <c r="L36" s="37"/>
      <c r="M36" s="37"/>
      <c r="N36" s="37"/>
      <c r="O36" s="37"/>
      <c r="P36" s="37"/>
      <c r="Q36" s="37"/>
      <c r="R36" s="37"/>
    </row>
    <row r="37" spans="3:21" x14ac:dyDescent="0.35">
      <c r="C37" s="37"/>
      <c r="D37" s="37"/>
      <c r="E37" s="37"/>
      <c r="F37" s="37"/>
      <c r="G37" s="37"/>
      <c r="H37" s="37"/>
      <c r="I37" s="37"/>
      <c r="J37" s="37"/>
      <c r="K37" s="37"/>
      <c r="L37" s="37"/>
      <c r="M37" s="37"/>
      <c r="N37" s="37"/>
      <c r="O37" s="37"/>
      <c r="P37" s="37"/>
      <c r="Q37" s="37"/>
      <c r="R37" s="37"/>
    </row>
    <row r="38" spans="3:21" x14ac:dyDescent="0.35">
      <c r="C38" s="37"/>
      <c r="D38" s="37"/>
      <c r="E38" s="37"/>
      <c r="F38" s="37"/>
      <c r="G38" s="37"/>
      <c r="H38" s="37"/>
      <c r="I38" s="37"/>
      <c r="J38" s="37"/>
      <c r="K38" s="37"/>
      <c r="L38" s="37"/>
      <c r="M38" s="37"/>
      <c r="N38" s="37"/>
      <c r="O38" s="37"/>
      <c r="P38" s="37"/>
      <c r="Q38" s="37"/>
      <c r="R38" s="37"/>
      <c r="U38" s="52"/>
    </row>
    <row r="39" spans="3:21" x14ac:dyDescent="0.35">
      <c r="C39" s="37"/>
      <c r="D39" s="37"/>
      <c r="E39" s="37"/>
      <c r="F39" s="37"/>
      <c r="G39" s="37"/>
      <c r="H39" s="37"/>
      <c r="I39" s="37"/>
      <c r="J39" s="37"/>
      <c r="K39" s="37"/>
      <c r="L39" s="37"/>
      <c r="M39" s="37"/>
      <c r="N39" s="37"/>
      <c r="O39" s="37"/>
      <c r="P39" s="37"/>
      <c r="Q39" s="37"/>
      <c r="R39" s="37"/>
      <c r="U39" s="52"/>
    </row>
    <row r="40" spans="3:21" x14ac:dyDescent="0.35">
      <c r="C40" s="37"/>
      <c r="D40" s="37"/>
      <c r="E40" s="37"/>
      <c r="F40" s="37"/>
      <c r="G40" s="37"/>
      <c r="H40" s="37"/>
      <c r="I40" s="37"/>
      <c r="J40" s="37"/>
      <c r="K40" s="37"/>
      <c r="L40" s="37"/>
      <c r="M40" s="37"/>
      <c r="N40" s="37"/>
      <c r="O40" s="37"/>
      <c r="P40" s="37"/>
      <c r="Q40" s="37"/>
      <c r="R40" s="37"/>
      <c r="U40" s="52"/>
    </row>
    <row r="41" spans="3:21" x14ac:dyDescent="0.35">
      <c r="C41" s="37"/>
      <c r="D41" s="37"/>
      <c r="E41" s="37"/>
      <c r="F41" s="37"/>
      <c r="G41" s="37"/>
      <c r="H41" s="37"/>
      <c r="I41" s="37"/>
      <c r="J41" s="37"/>
      <c r="K41" s="37"/>
      <c r="L41" s="37"/>
      <c r="M41" s="37"/>
      <c r="N41" s="37"/>
      <c r="O41" s="37"/>
      <c r="P41" s="37"/>
      <c r="Q41" s="37"/>
      <c r="R41" s="37"/>
    </row>
    <row r="42" spans="3:21" x14ac:dyDescent="0.35">
      <c r="C42" s="37"/>
      <c r="D42" s="37"/>
      <c r="E42" s="37"/>
      <c r="F42" s="37"/>
      <c r="G42" s="37"/>
      <c r="H42" s="37"/>
      <c r="I42" s="37"/>
      <c r="J42" s="37"/>
      <c r="K42" s="37"/>
      <c r="L42" s="37"/>
      <c r="M42" s="37"/>
      <c r="N42" s="37"/>
      <c r="O42" s="37"/>
      <c r="P42" s="37"/>
      <c r="Q42" s="37"/>
      <c r="R42" s="37"/>
    </row>
    <row r="43" spans="3:21" x14ac:dyDescent="0.35">
      <c r="C43" s="37"/>
      <c r="D43" s="37"/>
      <c r="E43" s="37"/>
      <c r="F43" s="37"/>
      <c r="G43" s="37"/>
      <c r="H43" s="37"/>
      <c r="I43" s="37"/>
      <c r="J43" s="37"/>
      <c r="K43" s="37"/>
      <c r="L43" s="37"/>
      <c r="M43" s="37"/>
      <c r="N43" s="37"/>
      <c r="O43" s="37"/>
      <c r="P43" s="37"/>
      <c r="Q43" s="37"/>
      <c r="R43" s="37"/>
    </row>
    <row r="44" spans="3:21" x14ac:dyDescent="0.35">
      <c r="C44" s="37"/>
      <c r="D44" s="37"/>
      <c r="E44" s="37"/>
      <c r="F44" s="37"/>
      <c r="G44" s="37"/>
      <c r="H44" s="37"/>
      <c r="I44" s="37"/>
      <c r="J44" s="37"/>
      <c r="K44" s="37"/>
      <c r="L44" s="37"/>
      <c r="M44" s="37"/>
      <c r="N44" s="37"/>
      <c r="O44" s="37"/>
      <c r="P44" s="37"/>
      <c r="Q44" s="37"/>
      <c r="R44" s="37"/>
    </row>
    <row r="45" spans="3:21" x14ac:dyDescent="0.35">
      <c r="C45" s="37"/>
      <c r="D45" s="37"/>
      <c r="E45" s="37"/>
      <c r="F45" s="37"/>
      <c r="G45" s="37"/>
      <c r="H45" s="37"/>
      <c r="I45" s="37"/>
      <c r="J45" s="37"/>
      <c r="K45" s="37"/>
      <c r="L45" s="37"/>
      <c r="M45" s="37"/>
      <c r="N45" s="37"/>
      <c r="O45" s="37"/>
      <c r="P45" s="37"/>
      <c r="Q45" s="37"/>
      <c r="R45" s="37"/>
    </row>
    <row r="46" spans="3:21" x14ac:dyDescent="0.35">
      <c r="C46" s="37"/>
      <c r="D46" s="37"/>
      <c r="E46" s="37"/>
      <c r="F46" s="37"/>
      <c r="G46" s="37"/>
      <c r="H46" s="37"/>
      <c r="I46" s="37"/>
      <c r="J46" s="37"/>
      <c r="K46" s="37"/>
      <c r="L46" s="37"/>
      <c r="M46" s="37"/>
      <c r="N46" s="37"/>
      <c r="O46" s="37"/>
      <c r="P46" s="37"/>
      <c r="Q46" s="37"/>
      <c r="R46" s="37"/>
    </row>
    <row r="47" spans="3:21" x14ac:dyDescent="0.35">
      <c r="C47" s="37"/>
      <c r="D47" s="37"/>
      <c r="E47" s="37"/>
      <c r="F47" s="37"/>
      <c r="G47" s="37"/>
      <c r="H47" s="37"/>
      <c r="I47" s="37"/>
      <c r="J47" s="37"/>
      <c r="K47" s="37"/>
      <c r="L47" s="37"/>
      <c r="M47" s="37"/>
      <c r="N47" s="37"/>
      <c r="O47" s="37"/>
      <c r="P47" s="37"/>
      <c r="Q47" s="37"/>
      <c r="R47" s="37"/>
    </row>
    <row r="48" spans="3:21" x14ac:dyDescent="0.35">
      <c r="C48" s="37"/>
      <c r="D48" s="37"/>
      <c r="E48" s="37"/>
      <c r="F48" s="37"/>
      <c r="G48" s="37"/>
      <c r="H48" s="37"/>
      <c r="I48" s="37"/>
      <c r="J48" s="37"/>
      <c r="K48" s="37"/>
      <c r="L48" s="37"/>
      <c r="M48" s="37"/>
      <c r="N48" s="37"/>
      <c r="O48" s="37"/>
      <c r="P48" s="37"/>
      <c r="Q48" s="37"/>
      <c r="R48" s="37"/>
    </row>
    <row r="49" spans="3:18" x14ac:dyDescent="0.35">
      <c r="C49" s="37"/>
      <c r="D49" s="37"/>
      <c r="E49" s="37"/>
      <c r="F49" s="37"/>
      <c r="G49" s="37"/>
      <c r="H49" s="37"/>
      <c r="I49" s="37"/>
      <c r="J49" s="37"/>
      <c r="K49" s="37"/>
      <c r="L49" s="37"/>
      <c r="M49" s="37"/>
      <c r="N49" s="37"/>
      <c r="O49" s="37"/>
      <c r="P49" s="37"/>
      <c r="Q49" s="37"/>
      <c r="R49" s="37"/>
    </row>
    <row r="50" spans="3:18" x14ac:dyDescent="0.35">
      <c r="C50" s="37"/>
      <c r="D50" s="37"/>
      <c r="E50" s="37"/>
      <c r="F50" s="37"/>
      <c r="G50" s="37"/>
      <c r="H50" s="37"/>
      <c r="I50" s="37"/>
      <c r="J50" s="37"/>
      <c r="K50" s="37"/>
      <c r="L50" s="37"/>
      <c r="M50" s="37"/>
      <c r="N50" s="37"/>
      <c r="O50" s="37"/>
      <c r="P50" s="37"/>
      <c r="Q50" s="37"/>
      <c r="R50" s="37"/>
    </row>
    <row r="51" spans="3:18" x14ac:dyDescent="0.35">
      <c r="C51" s="37"/>
      <c r="D51" s="37"/>
      <c r="E51" s="37"/>
      <c r="F51" s="37"/>
      <c r="G51" s="37"/>
      <c r="H51" s="37"/>
      <c r="I51" s="37"/>
      <c r="J51" s="37"/>
      <c r="K51" s="37"/>
      <c r="L51" s="37"/>
      <c r="M51" s="37"/>
      <c r="N51" s="37"/>
      <c r="O51" s="37"/>
      <c r="P51" s="37"/>
      <c r="Q51" s="37"/>
      <c r="R51" s="37"/>
    </row>
    <row r="52" spans="3:18" x14ac:dyDescent="0.35">
      <c r="C52" s="37"/>
      <c r="D52" s="37"/>
      <c r="E52" s="37"/>
      <c r="F52" s="37"/>
      <c r="G52" s="37"/>
      <c r="H52" s="37"/>
      <c r="I52" s="37"/>
      <c r="J52" s="37"/>
      <c r="K52" s="37"/>
      <c r="L52" s="37"/>
      <c r="M52" s="37"/>
      <c r="N52" s="37"/>
      <c r="O52" s="37"/>
      <c r="P52" s="37"/>
      <c r="Q52" s="37"/>
      <c r="R52" s="37"/>
    </row>
    <row r="53" spans="3:18" x14ac:dyDescent="0.35">
      <c r="C53" s="37"/>
      <c r="D53" s="37"/>
      <c r="E53" s="37"/>
      <c r="F53" s="37"/>
      <c r="G53" s="37"/>
      <c r="H53" s="37"/>
      <c r="I53" s="37"/>
      <c r="J53" s="37"/>
      <c r="K53" s="37"/>
      <c r="L53" s="37"/>
      <c r="M53" s="37"/>
      <c r="N53" s="37"/>
      <c r="O53" s="37"/>
      <c r="P53" s="37"/>
      <c r="Q53" s="37"/>
      <c r="R53" s="37"/>
    </row>
    <row r="54" spans="3:18" x14ac:dyDescent="0.35">
      <c r="C54" s="37"/>
      <c r="D54" s="37"/>
      <c r="E54" s="37"/>
      <c r="F54" s="37"/>
      <c r="G54" s="37"/>
      <c r="H54" s="37"/>
      <c r="I54" s="37"/>
      <c r="J54" s="37"/>
      <c r="K54" s="37"/>
      <c r="L54" s="37"/>
      <c r="M54" s="37"/>
      <c r="N54" s="37"/>
      <c r="O54" s="37"/>
      <c r="P54" s="37"/>
      <c r="Q54" s="37"/>
      <c r="R54" s="37"/>
    </row>
    <row r="55" spans="3:18" x14ac:dyDescent="0.35">
      <c r="C55" s="37"/>
      <c r="D55" s="37"/>
      <c r="E55" s="37"/>
      <c r="F55" s="37"/>
      <c r="G55" s="37"/>
      <c r="H55" s="37"/>
      <c r="I55" s="37"/>
      <c r="J55" s="37"/>
      <c r="K55" s="37"/>
      <c r="L55" s="37"/>
      <c r="M55" s="37"/>
      <c r="N55" s="37"/>
      <c r="O55" s="37"/>
      <c r="P55" s="37"/>
      <c r="Q55" s="37"/>
      <c r="R55" s="37"/>
    </row>
    <row r="56" spans="3:18" x14ac:dyDescent="0.35">
      <c r="C56" s="37"/>
      <c r="D56" s="37"/>
      <c r="E56" s="37"/>
      <c r="F56" s="37"/>
      <c r="G56" s="37"/>
      <c r="H56" s="37"/>
      <c r="I56" s="37"/>
      <c r="J56" s="37"/>
      <c r="K56" s="37"/>
      <c r="L56" s="37"/>
      <c r="M56" s="37"/>
      <c r="N56" s="37"/>
      <c r="O56" s="37"/>
      <c r="P56" s="37"/>
      <c r="Q56" s="37"/>
      <c r="R56" s="37"/>
    </row>
    <row r="57" spans="3:18" x14ac:dyDescent="0.35">
      <c r="C57" s="37"/>
      <c r="D57" s="37"/>
      <c r="E57" s="37"/>
      <c r="F57" s="37"/>
      <c r="G57" s="37"/>
      <c r="H57" s="37"/>
      <c r="I57" s="37"/>
      <c r="J57" s="37"/>
      <c r="K57" s="37"/>
      <c r="L57" s="37"/>
      <c r="M57" s="37"/>
      <c r="N57" s="37"/>
      <c r="O57" s="37"/>
      <c r="P57" s="37"/>
      <c r="Q57" s="37"/>
      <c r="R57" s="37"/>
    </row>
    <row r="58" spans="3:18" x14ac:dyDescent="0.35">
      <c r="C58" s="37"/>
      <c r="D58" s="37"/>
      <c r="E58" s="37"/>
      <c r="F58" s="37"/>
      <c r="G58" s="37"/>
      <c r="H58" s="37"/>
      <c r="I58" s="37"/>
      <c r="J58" s="37"/>
      <c r="K58" s="37"/>
      <c r="L58" s="37"/>
      <c r="M58" s="37"/>
      <c r="N58" s="37"/>
      <c r="O58" s="37"/>
      <c r="P58" s="37"/>
      <c r="Q58" s="37"/>
      <c r="R58" s="37"/>
    </row>
  </sheetData>
  <mergeCells count="1">
    <mergeCell ref="A2:F2"/>
  </mergeCells>
  <pageMargins left="1" right="1" top="1" bottom="1" header="0.5" footer="0.5"/>
  <pageSetup scale="9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FY 2019-20</vt:lpstr>
      <vt:lpstr>Footnotes</vt:lpstr>
      <vt:lpstr>'FY 2019-20'!Print_Area</vt:lpstr>
      <vt:lpstr>'FY 2019-20'!Print_Titles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 Kristin (PGCB)</dc:creator>
  <cp:lastModifiedBy>Hand, Kristin (PGCB)</cp:lastModifiedBy>
  <cp:lastPrinted>2020-07-14T19:32:39Z</cp:lastPrinted>
  <dcterms:created xsi:type="dcterms:W3CDTF">2019-08-13T13:02:58Z</dcterms:created>
  <dcterms:modified xsi:type="dcterms:W3CDTF">2020-08-05T13:04:14Z</dcterms:modified>
</cp:coreProperties>
</file>